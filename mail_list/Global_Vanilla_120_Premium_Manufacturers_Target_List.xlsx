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ecec335c374a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20 Premium Manufacturers" sheetId="1" r:id="R5323739d10e54183"/>
    <x:sheet xmlns:r="http://schemas.openxmlformats.org/officeDocument/2006/relationships" name="Top 30 Immediate Targets" sheetId="2" r:id="R4ba8d14aebbd4ecb"/>
    <x:sheet xmlns:r="http://schemas.openxmlformats.org/officeDocument/2006/relationships" name="Dashboard" sheetId="3" r:id="R4a04017111954808"/>
    <x:sheet xmlns:r="http://schemas.openxmlformats.org/officeDocument/2006/relationships" name="Outreach Workflow" sheetId="4" r:id="Rb4248ebd3d684324"/>
    <x:sheet xmlns:r="http://schemas.openxmlformats.org/officeDocument/2006/relationships" name="Data Notes" sheetId="5" r:id="R311c8559bb1e40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1"/>
      <x:color rgb="FF1F2937"/>
      <x:name val="Carlito"/>
    </x:font>
    <x:font>
      <x:sz val="10"/>
      <x:name val="Carlito"/>
    </x:font>
    <x:font>
      <x:b/>
      <x:sz val="16"/>
      <x:color rgb="FFFFFFFF"/>
      <x:name val="Carlito"/>
    </x:font>
    <x:font>
      <x:b/>
      <x:sz val="11"/>
      <x:color rgb="FF173B2D"/>
      <x:name val="Carlito"/>
    </x:font>
    <x:font>
      <x:b/>
      <x:sz val="14"/>
      <x:name val="Carlito"/>
    </x:font>
    <x:font>
      <x:b/>
      <x:sz val="11"/>
      <x:color rgb="FF92400E"/>
      <x:name val="Carlito"/>
    </x:font>
    <x:font>
      <x:b/>
      <x:sz val="15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B2D"/>
      </x:patternFill>
    </x:fill>
    <x:fill>
      <x:patternFill patternType="solid">
        <x:fgColor rgb="FFFBFCFB"/>
      </x:patternFill>
    </x:fill>
    <x:fill>
      <x:patternFill patternType="solid">
        <x:fgColor rgb="FFD5A021"/>
      </x:patternFill>
    </x:fill>
    <x:fill>
      <x:patternFill patternType="solid">
        <x:fgColor rgb="FFEAF2EE"/>
      </x:patternFill>
    </x:fill>
    <x:fill>
      <x:patternFill patternType="solid">
        <x:fgColor rgb="FFF0FDF4"/>
      </x:patternFill>
    </x:fill>
    <x:fill>
      <x:patternFill patternType="solid">
        <x:fgColor rgb="FFFFF4D6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0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13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4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6" fillId="5" borderId="5" xfId="0" applyNumberFormat="1" applyFont="1" applyFill="1" applyBorder="1"/>
    <x:xf numFmtId="0" fontId="0" fillId="0" borderId="6" xfId="0" applyNumberFormat="1" applyFont="1" applyFill="1" applyBorder="1"/>
    <x:xf numFmtId="0" fontId="6" fillId="5" borderId="7" xfId="0" applyNumberFormat="1" applyFont="1" applyFill="1" applyBorder="1"/>
    <x:xf numFmtId="0" fontId="7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/>
    <x:xf numFmtId="0" fontId="3" fillId="4" borderId="10" xfId="0" applyNumberFormat="1" applyFont="1" applyFill="1" applyBorder="1" applyAlignment="1">
      <x:alignment horizontal="center"/>
    </x:xf>
    <x:xf numFmtId="0" fontId="3" fillId="4" borderId="11" xfId="0" applyNumberFormat="1" applyFont="1" applyFill="1" applyBorder="1" applyAlignment="1">
      <x:alignment horizontal="center"/>
    </x:xf>
    <x:xf numFmtId="0" fontId="3" fillId="4" borderId="12" xfId="0" applyNumberFormat="1" applyFont="1" applyFill="1" applyBorder="1" applyAlignment="1">
      <x:alignment horizontal="center"/>
    </x:xf>
    <x:xf numFmtId="0" fontId="6" fillId="5" borderId="13" xfId="0" applyNumberFormat="1" applyFont="1" applyFill="1" applyBorder="1"/>
    <x:xf numFmtId="0" fontId="0" fillId="0" borderId="14" xfId="0" applyNumberFormat="1" applyFont="1" applyFill="1" applyBorder="1"/>
    <x:xf numFmtId="0" fontId="6" fillId="5" borderId="15" xfId="0" applyNumberFormat="1" applyFont="1" applyFill="1" applyBorder="1"/>
    <x:xf numFmtId="0" fontId="7" fillId="0" borderId="16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6" fillId="6" borderId="5" xfId="0" applyNumberFormat="1" applyFont="1" applyFill="1" applyBorder="1"/>
    <x:xf numFmtId="0" fontId="0" fillId="0" borderId="0" xfId="0" applyNumberFormat="1" applyFont="1" applyFill="1" applyBorder="1"/>
    <x:xf numFmtId="0" fontId="6" fillId="6" borderId="7" xfId="0" applyNumberFormat="1" applyFont="1" applyFill="1" applyBorder="1"/>
    <x:xf numFmtId="0" fontId="0" fillId="0" borderId="8" xfId="0" applyNumberFormat="1" applyFont="1" applyFill="1" applyBorder="1"/>
    <x:xf numFmtId="0" fontId="1" fillId="2" borderId="10" xfId="0" applyNumberFormat="1" applyFont="1" applyFill="1" applyBorder="1" applyAlignment="1">
      <x:alignment horizontal="center"/>
    </x:xf>
    <x:xf numFmtId="0" fontId="1" fillId="2" borderId="11" xfId="0" applyNumberFormat="1" applyFont="1" applyFill="1" applyBorder="1" applyAlignment="1">
      <x:alignment horizontal="center"/>
    </x:xf>
    <x:xf numFmtId="0" fontId="1" fillId="2" borderId="12" xfId="0" applyNumberFormat="1" applyFont="1" applyFill="1" applyBorder="1" applyAlignment="1">
      <x:alignment horizontal="center"/>
    </x:xf>
    <x:xf numFmtId="0" fontId="6" fillId="6" borderId="13" xfId="0" applyNumberFormat="1" applyFont="1" applyFill="1" applyBorder="1"/>
    <x:xf numFmtId="0" fontId="6" fillId="6" borderId="15" xfId="0" applyNumberFormat="1" applyFont="1" applyFill="1" applyBorder="1"/>
    <x:xf numFmtId="0" fontId="0" fillId="0" borderId="16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horizontal="center"/>
    </x:xf>
    <x:xf numFmtId="0" fontId="8" fillId="7" borderId="5" xfId="0" applyNumberFormat="1" applyFont="1" applyFill="1" applyBorder="1" applyAlignment="1">
      <x:alignment horizontal="center"/>
    </x:xf>
    <x:xf numFmtId="0" fontId="8" fillId="7" borderId="7" xfId="0" applyNumberFormat="1" applyFont="1" applyFill="1" applyBorder="1" applyAlignment="1">
      <x:alignment horizontal="center"/>
    </x:xf>
    <x:xf numFmtId="0" fontId="8" fillId="7" borderId="13" xfId="0" applyNumberFormat="1" applyFont="1" applyFill="1" applyBorder="1" applyAlignment="1">
      <x:alignment horizontal="center"/>
    </x:xf>
    <x:xf numFmtId="0" fontId="8" fillId="7" borderId="15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6" fillId="5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6" fillId="5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 applyAlignment="1">
      <x:alignment horizontal="center" wrapText="1"/>
    </x:xf>
    <x:xf numFmtId="0" fontId="8" fillId="7" borderId="5" xfId="0" applyNumberFormat="1" applyFont="1" applyFill="1" applyBorder="1" applyAlignment="1">
      <x:alignment horizontal="center" wrapText="1"/>
    </x:xf>
    <x:xf numFmtId="0" fontId="8" fillId="7" borderId="7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 applyAlignment="1">
      <x:alignment horizontal="center" wrapText="1"/>
    </x:xf>
    <x:xf numFmtId="0" fontId="3" fillId="4" borderId="11" xfId="0" applyNumberFormat="1" applyFont="1" applyFill="1" applyBorder="1" applyAlignment="1">
      <x:alignment horizontal="center" wrapText="1"/>
    </x:xf>
    <x:xf numFmtId="0" fontId="3" fillId="4" borderId="12" xfId="0" applyNumberFormat="1" applyFont="1" applyFill="1" applyBorder="1" applyAlignment="1">
      <x:alignment horizontal="center" wrapText="1"/>
    </x:xf>
    <x:xf numFmtId="0" fontId="7" fillId="0" borderId="1" xfId="0" applyNumberFormat="1" applyFont="1" applyFill="1" applyBorder="1" applyAlignment="1">
      <x:alignment horizontal="center" wrapText="1"/>
    </x:xf>
    <x:xf numFmtId="0" fontId="8" fillId="7" borderId="13" xfId="0" applyNumberFormat="1" applyFont="1" applyFill="1" applyBorder="1" applyAlignment="1">
      <x:alignment horizontal="center" wrapText="1"/>
    </x:xf>
    <x:xf numFmtId="0" fontId="8" fillId="7" borderId="15" xfId="0" applyNumberFormat="1" applyFont="1" applyFill="1" applyBorder="1" applyAlignment="1">
      <x:alignment horizontal="center" wrapText="1"/>
    </x:xf>
    <x:xf numFmtId="0" fontId="0" fillId="0" borderId="16" xfId="0" applyNumberFormat="1" applyFont="1" applyFill="1" applyBorder="1" applyAlignment="1">
      <x:alignment wrapText="1"/>
    </x:xf>
    <x:xf numFmtId="0" fontId="7" fillId="0" borderId="16" xfId="0" applyNumberFormat="1" applyFont="1" applyFill="1" applyBorder="1" applyAlignment="1">
      <x:alignment horizontal="center" wrapText="1"/>
    </x:xf>
    <x:xf numFmtId="0" fontId="1" fillId="2" borderId="10" xfId="0" applyNumberFormat="1" applyFont="1" applyFill="1" applyBorder="1" applyAlignment="1">
      <x:alignment horizontal="center" wrapText="1"/>
    </x:xf>
    <x:xf numFmtId="0" fontId="1" fillId="2" borderId="11" xfId="0" applyNumberFormat="1" applyFont="1" applyFill="1" applyBorder="1" applyAlignment="1">
      <x:alignment horizontal="center" wrapText="1"/>
    </x:xf>
    <x:xf numFmtId="0" fontId="1" fillId="2" borderId="12" xfId="0" applyNumberFormat="1" applyFont="1" applyFill="1" applyBorder="1" applyAlignment="1">
      <x:alignment horizontal="center" wrapText="1"/>
    </x:xf>
    <x:xf numFmtId="0" fontId="6" fillId="6" borderId="13" xfId="0" applyNumberFormat="1" applyFont="1" applyFill="1" applyBorder="1" applyAlignment="1">
      <x:alignment wrapText="1"/>
    </x:xf>
    <x:xf numFmtId="0" fontId="6" fillId="6" borderId="15" xfId="0" applyNumberFormat="1" applyFont="1" applyFill="1" applyBorder="1" applyAlignment="1">
      <x:alignment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horizontal="center"/>
    </x:xf>
    <x:xf numFmtId="0" fontId="9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0" fontId="6" fillId="5" borderId="7" xfId="0" applyNumberFormat="1" applyFont="1" applyFill="1" applyBorder="1" applyAlignment="1">
      <x:alignment vertical="top" wrapText="1"/>
    </x:xf>
    <x:xf numFmtId="0" fontId="6" fillId="5" borderId="1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6" fillId="5" borderId="13" xfId="0" applyNumberFormat="1" applyFont="1" applyFill="1" applyBorder="1" applyAlignment="1">
      <x:alignment vertical="top" wrapText="1"/>
    </x:xf>
    <x:xf numFmtId="0" fontId="6" fillId="5" borderId="15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color rgb="FF374151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6032aa84214ad5" /><Relationship Type="http://schemas.openxmlformats.org/officeDocument/2006/relationships/theme" Target="/xl/theme/theme1.xml" Id="R88b8f3c4e8a743a8" /><Relationship Type="http://schemas.openxmlformats.org/officeDocument/2006/relationships/sharedStrings" Target="/xl/sharedStrings.xml" Id="Rdeeacb4bfcf1479d" /><Relationship Type="http://schemas.openxmlformats.org/officeDocument/2006/relationships/worksheet" Target="/xl/worksheets/sheet1.xml" Id="R5323739d10e54183" /><Relationship Type="http://schemas.openxmlformats.org/officeDocument/2006/relationships/worksheet" Target="/xl/worksheets/sheet2.xml" Id="R4ba8d14aebbd4ecb" /><Relationship Type="http://schemas.openxmlformats.org/officeDocument/2006/relationships/worksheet" Target="/xl/worksheets/sheet3.xml" Id="R4a04017111954808" /><Relationship Type="http://schemas.openxmlformats.org/officeDocument/2006/relationships/worksheet" Target="/xl/worksheets/sheet4.xml" Id="Rb4248ebd3d684324" /><Relationship Type="http://schemas.openxmlformats.org/officeDocument/2006/relationships/worksheet" Target="/xl/worksheets/sheet5.xml" Id="R311c8559bb1e409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10ab91840d4435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Targets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'Dashboard'!$A$12:$A$16</c:f>
              <c:strCache>
                <c:ptCount val="0"/>
              </c:strCache>
            </c:strRef>
          </c:cat>
          <c:val>
            <c:numRef>
              <c:f>'Dashboard'!$B$12:$B$16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18</xdr:row>
      <xdr:rowOff>0</xdr:rowOff>
    </xdr:from>
    <xdr:to>
      <xdr:col>8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0ab91840d4435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emiumManufacturersTable" displayName="PremiumManufacturersTable" ref="A1:AA121" headerRowCount="1">
  <x:tableColumns count="27">
    <x:tableColumn id="1" name="Rank"/>
    <x:tableColumn id="2" name="Priority Tier"/>
    <x:tableColumn id="3" name="Score"/>
    <x:tableColumn id="4" name="Company"/>
    <x:tableColumn id="5" name="Category"/>
    <x:tableColumn id="6" name="Parent / Owner"/>
    <x:tableColumn id="7" name="Headquarters"/>
    <x:tableColumn id="8" name="Primary Regions"/>
    <x:tableColumn id="9" name="Website"/>
    <x:tableColumn id="10" name="Contact / Supplier URL"/>
    <x:tableColumn id="11" name="Public Email"/>
    <x:tableColumn id="12" name="Public Phone"/>
    <x:tableColumn id="13" name="Public Contact Name / Executive"/>
    <x:tableColumn id="14" name="Recommended Role to Target"/>
    <x:tableColumn id="15" name="Relevant Product Lines"/>
    <x:tableColumn id="16" name="Vanilla Relevance"/>
    <x:tableColumn id="17" name="Why This Buyer Matters"/>
    <x:tableColumn id="18" name="Estimated Volume Potential"/>
    <x:tableColumn id="19" name="Buying Speed"/>
    <x:tableColumn id="20" name="Recommended First Approach"/>
    <x:tableColumn id="21" name="Suggested Sample Pack"/>
    <x:tableColumn id="22" name="Best Initial Channel"/>
    <x:tableColumn id="23" name="Source URL"/>
    <x:tableColumn id="24" name="Verification Notes"/>
    <x:tableColumn id="25" name="Outreach Status"/>
    <x:tableColumn id="26" name="Owner"/>
    <x:tableColumn id="27" name="Last Verified"/>
  </x:tableColumns>
  <x:tableStyleInfo name="TableStyleMedium2" showRowStripes="1"/>
</x:table>
</file>

<file path=xl/tables/table2.xml><?xml version="1.0" encoding="utf-8"?>
<x:table xmlns:x="http://schemas.openxmlformats.org/spreadsheetml/2006/main" id="2" name="TopImmediateTargetsTable" displayName="TopImmediateTargetsTable" ref="A1:L31" headerRowCount="1">
  <x:tableColumns count="12">
    <x:tableColumn id="1" name="Sequence"/>
    <x:tableColumn id="2" name="Company"/>
    <x:tableColumn id="3" name="Category"/>
    <x:tableColumn id="4" name="Score"/>
    <x:tableColumn id="5" name="Headquarters"/>
    <x:tableColumn id="6" name="Public Email"/>
    <x:tableColumn id="7" name="Public Phone"/>
    <x:tableColumn id="8" name="Recommended Role to Target"/>
    <x:tableColumn id="9" name="Vanilla Relevance"/>
    <x:tableColumn id="10" name="Why This Buyer Matters"/>
    <x:tableColumn id="11" name="Recommended First Approach"/>
    <x:tableColumn id="12" name="Contact / Supplier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c943e4be2048b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5bbd1b54cae44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c7d1ac4285db4478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1" hidden="0" customWidth="1"/>
    <x:col min="3" max="3" width="8" hidden="0" customWidth="1"/>
    <x:col min="4" max="4" width="28" hidden="0" customWidth="1"/>
    <x:col min="5" max="5" width="27" hidden="0" customWidth="1"/>
    <x:col min="6" max="6" width="22" hidden="0" customWidth="1"/>
    <x:col min="7" max="7" width="24" hidden="0" customWidth="1"/>
    <x:col min="8" max="8" width="22" hidden="0" customWidth="1"/>
    <x:col min="9" max="9" width="34" hidden="0" customWidth="1"/>
    <x:col min="10" max="10" width="38" hidden="0" customWidth="1"/>
    <x:col min="11" max="11" width="31" hidden="0" customWidth="1"/>
    <x:col min="12" max="12" width="24" hidden="0" customWidth="1"/>
    <x:col min="13" max="13" width="34" hidden="0" customWidth="1"/>
    <x:col min="14" max="14" width="34" hidden="0" customWidth="1"/>
    <x:col min="15" max="15" width="40" hidden="0" customWidth="1"/>
    <x:col min="16" max="16" width="42" hidden="0" customWidth="1"/>
    <x:col min="17" max="17" width="48" hidden="0" customWidth="1"/>
    <x:col min="18" max="18" width="17" hidden="0" customWidth="1"/>
    <x:col min="19" max="19" width="14" hidden="0" customWidth="1"/>
    <x:col min="20" max="20" width="54" hidden="0" customWidth="1"/>
    <x:col min="21" max="21" width="39" hidden="0" customWidth="1"/>
    <x:col min="22" max="22" width="40" hidden="0" customWidth="1"/>
    <x:col min="23" max="23" width="38" hidden="0" customWidth="1"/>
    <x:col min="24" max="24" width="45" hidden="0" customWidth="1"/>
    <x:col min="25" max="25" width="17" hidden="0" customWidth="1"/>
    <x:col min="26" max="26" width="14" hidden="0" customWidth="1"/>
    <x:col min="27" max="27" width="15" hidden="0" customWidth="1"/>
  </x:cols>
  <x:sheetData>
    <x:row r="1" ht="42" customHeight="1">
      <x:c r="A1" s="18" t="str">
        <x:v>Rank</x:v>
      </x:c>
      <x:c r="B1" s="19" t="str">
        <x:v>Priority Tier</x:v>
      </x:c>
      <x:c r="C1" s="19" t="str">
        <x:v>Score</x:v>
      </x:c>
      <x:c r="D1" s="19" t="str">
        <x:v>Company</x:v>
      </x:c>
      <x:c r="E1" s="19" t="str">
        <x:v>Category</x:v>
      </x:c>
      <x:c r="F1" s="19" t="str">
        <x:v>Parent / Owner</x:v>
      </x:c>
      <x:c r="G1" s="19" t="str">
        <x:v>Headquarters</x:v>
      </x:c>
      <x:c r="H1" s="19" t="str">
        <x:v>Primary Regions</x:v>
      </x:c>
      <x:c r="I1" s="19" t="str">
        <x:v>Website</x:v>
      </x:c>
      <x:c r="J1" s="19" t="str">
        <x:v>Contact / Supplier URL</x:v>
      </x:c>
      <x:c r="K1" s="19" t="str">
        <x:v>Public Email</x:v>
      </x:c>
      <x:c r="L1" s="19" t="str">
        <x:v>Public Phone</x:v>
      </x:c>
      <x:c r="M1" s="19" t="str">
        <x:v>Public Contact Name / Executive</x:v>
      </x:c>
      <x:c r="N1" s="19" t="str">
        <x:v>Recommended Role to Target</x:v>
      </x:c>
      <x:c r="O1" s="19" t="str">
        <x:v>Relevant Product Lines</x:v>
      </x:c>
      <x:c r="P1" s="19" t="str">
        <x:v>Vanilla Relevance</x:v>
      </x:c>
      <x:c r="Q1" s="19" t="str">
        <x:v>Why This Buyer Matters</x:v>
      </x:c>
      <x:c r="R1" s="19" t="str">
        <x:v>Estimated Volume Potential</x:v>
      </x:c>
      <x:c r="S1" s="19" t="str">
        <x:v>Buying Speed</x:v>
      </x:c>
      <x:c r="T1" s="19" t="str">
        <x:v>Recommended First Approach</x:v>
      </x:c>
      <x:c r="U1" s="19" t="str">
        <x:v>Suggested Sample Pack</x:v>
      </x:c>
      <x:c r="V1" s="19" t="str">
        <x:v>Best Initial Channel</x:v>
      </x:c>
      <x:c r="W1" s="19" t="str">
        <x:v>Source URL</x:v>
      </x:c>
      <x:c r="X1" s="19" t="str">
        <x:v>Verification Notes</x:v>
      </x:c>
      <x:c r="Y1" s="19" t="str">
        <x:v>Outreach Status</x:v>
      </x:c>
      <x:c r="Z1" s="19" t="str">
        <x:v>Owner</x:v>
      </x:c>
      <x:c r="AA1" s="20" t="str">
        <x:v>Last Verified</x:v>
      </x:c>
    </x:row>
    <x:row r="2" ht="58" customHeight="1">
      <x:c r="A2" s="34" t="n">
        <x:v>1</x:v>
      </x:c>
      <x:c r="B2" s="35" t="str">
        <x:v>A</x:v>
      </x:c>
      <x:c r="C2" s="35" t="n">
        <x:v>95</x:v>
      </x:c>
      <x:c r="D2" s="35" t="str">
        <x:v>Barry Callebaut / Callebaut</x:v>
      </x:c>
      <x:c r="E2" s="35" t="str">
        <x:v>Premium chocolate &amp; confectionery</x:v>
      </x:c>
      <x:c r="F2" s="35" t="str">
        <x:v>Barry Callebaut Group</x:v>
      </x:c>
      <x:c r="G2" s="35" t="str">
        <x:v>Zurich, Switzerland</x:v>
      </x:c>
      <x:c r="H2" s="35" t="str">
        <x:v>Global</x:v>
      </x:c>
      <x:c r="I2" s="35" t="str">
        <x:v>https://www.barry-callebaut.com</x:v>
      </x:c>
      <x:c r="J2" s="35" t="str">
        <x:v>https://www.barry-callebaut.com/en-US/contact</x:v>
      </x:c>
      <x:c r="K2" s="35" t="str">
        <x:v>Not publicly listed</x:v>
      </x:c>
      <x:c r="L2" s="35" t="str">
        <x:v>+1 312 496 7300 / +1 866 443 0460</x:v>
      </x:c>
      <x:c r="M2" s="35" t="str">
        <x:v>Not publicly listed</x:v>
      </x:c>
      <x:c r="N2" s="35" t="str">
        <x:v>Chocolate ingredient sourcing / vanilla &amp; natural flavor procurement</x:v>
      </x:c>
      <x:c r="O2" s="35" t="str">
        <x:v>Couverture, cocoa ingredients, fillings, decorations, chocolate for manufacturers</x:v>
      </x:c>
      <x:c r="P2" s="35" t="str">
        <x:v>Vanilla in chocolate formulations, fillings, white chocolate and professional bakery products</x:v>
      </x:c>
      <x:c r="Q2" s="35" t="str">
        <x:v>Global ingredient manufacturer with high-volume industrial and premium chocolate customers.</x:v>
      </x:c>
      <x:c r="R2" s="35" t="str">
        <x:v>Strategic/Large</x:v>
      </x:c>
      <x:c r="S2" s="35" t="str">
        <x:v>Slow</x:v>
      </x:c>
      <x:c r="T2" s="35" t="str">
        <x:v>Use supplier/contact route; position Ecuador vanilla as a traceable origin option for premium chocolate systems.</x:v>
      </x:c>
      <x:c r="U2" s="35" t="str">
        <x:v>250g beans + 50g powder if available + COA + pesticide/heavy metal results</x:v>
      </x:c>
      <x:c r="V2" s="35" t="str">
        <x:v>Supplier/contact page + LinkedIn category-buyer outreach</x:v>
      </x:c>
      <x:c r="W2" s="35" t="str">
        <x:v>https://www.barry-callebaut.com/en-US/vendors-communications</x:v>
      </x:c>
      <x:c r="X2" s="35" t="str">
        <x:v>Official supplier information/contact routing exists; procurement onboarding likely required.</x:v>
      </x:c>
      <x:c r="Y2" s="35" t="str">
        <x:v>Not Contacted</x:v>
      </x:c>
      <x:c r="Z2" s="35" t="str"/>
      <x:c r="AA2" s="36" t="str">
        <x:v>2026-07-10</x:v>
      </x:c>
    </x:row>
    <x:row r="3" ht="58" customHeight="1">
      <x:c r="A3" s="21" t="n">
        <x:v>2</x:v>
      </x:c>
      <x:c r="B3" s="14" t="str">
        <x:v>A</x:v>
      </x:c>
      <x:c r="C3" s="14" t="n">
        <x:v>93</x:v>
      </x:c>
      <x:c r="D3" s="14" t="str">
        <x:v>Valrhona</x:v>
      </x:c>
      <x:c r="E3" s="14" t="str">
        <x:v>Premium chocolate &amp; confectionery</x:v>
      </x:c>
      <x:c r="F3" s="14" t="str">
        <x:v>Savencia Gourmet</x:v>
      </x:c>
      <x:c r="G3" s="14" t="str">
        <x:v>Tain-l'Hermitage, France</x:v>
      </x:c>
      <x:c r="H3" s="14" t="str">
        <x:v>Global / professional pastry</x:v>
      </x:c>
      <x:c r="I3" s="14" t="str">
        <x:v>https://www.valrhona.com</x:v>
      </x:c>
      <x:c r="J3" s="14" t="str">
        <x:v>https://www.valrhona.com/en/contact-us</x:v>
      </x:c>
      <x:c r="K3" s="14" t="str">
        <x:v>Not publicly listed</x:v>
      </x:c>
      <x:c r="L3" s="14" t="str">
        <x:v>Not publicly listed</x:v>
      </x:c>
      <x:c r="M3" s="14" t="str">
        <x:v>Not publicly listed</x:v>
      </x:c>
      <x:c r="N3" s="14" t="str">
        <x:v>Raw materials procurement / gourmet chocolate sourcing</x:v>
      </x:c>
      <x:c r="O3" s="14" t="str">
        <x:v>Premium chocolate couvertures, professional pastry products, bonbons</x:v>
      </x:c>
      <x:c r="P3" s="14" t="str">
        <x:v>High-end chocolate and pastry products often use visible-origin vanilla positioning</x:v>
      </x:c>
      <x:c r="Q3" s="14" t="str">
        <x:v>A prestige chocolate maker serving chefs and luxury pastry; smaller than multinationals but premium-fit.</x:v>
      </x:c>
      <x:c r="R3" s="14" t="str">
        <x:v>Medium</x:v>
      </x:c>
      <x:c r="S3" s="14" t="str">
        <x:v>Medium</x:v>
      </x:c>
      <x:c r="T3" s="14" t="str">
        <x:v>Lead with Ecuador origin, aromatic profile, and chef-facing story; ask for raw-material procurement referral.</x:v>
      </x:c>
      <x:c r="U3" s="14" t="str">
        <x:v>100g beans + spec sheet + COA</x:v>
      </x:c>
      <x:c r="V3" s="14" t="str">
        <x:v>Official contact form + LinkedIn procurement outreach</x:v>
      </x:c>
      <x:c r="W3" s="14" t="str">
        <x:v>https://www.valrhona.com/en/contact-us</x:v>
      </x:c>
      <x:c r="X3" s="14" t="str">
        <x:v>Use official contact route; verify details before sending samples.</x:v>
      </x:c>
      <x:c r="Y3" s="14" t="str">
        <x:v>Not Contacted</x:v>
      </x:c>
      <x:c r="Z3" s="14" t="str"/>
      <x:c r="AA3" s="22" t="str">
        <x:v>2026-07-10</x:v>
      </x:c>
    </x:row>
    <x:row r="4" ht="58" customHeight="1">
      <x:c r="A4" s="34" t="n">
        <x:v>3</x:v>
      </x:c>
      <x:c r="B4" s="35" t="str">
        <x:v>A</x:v>
      </x:c>
      <x:c r="C4" s="35" t="n">
        <x:v>93</x:v>
      </x:c>
      <x:c r="D4" s="35" t="str">
        <x:v>Guittard Chocolate Company</x:v>
      </x:c>
      <x:c r="E4" s="35" t="str">
        <x:v>Premium chocolate &amp; confectionery</x:v>
      </x:c>
      <x:c r="F4" s="35" t="str">
        <x:v>Private</x:v>
      </x:c>
      <x:c r="G4" s="35" t="str">
        <x:v>Burlingame, California, USA</x:v>
      </x:c>
      <x:c r="H4" s="35" t="str">
        <x:v>North America / international professional</x:v>
      </x:c>
      <x:c r="I4" s="35" t="str">
        <x:v>https://guittard.com</x:v>
      </x:c>
      <x:c r="J4" s="35" t="str">
        <x:v>https://guittard.com/contact</x:v>
      </x:c>
      <x:c r="K4" s="35" t="str">
        <x:v>sales@guittard.com / QA@guittard.com</x:v>
      </x:c>
      <x:c r="L4" s="35" t="str">
        <x:v>+1 800 468 2462 / +1 650 697 4427</x:v>
      </x:c>
      <x:c r="M4" s="35" t="str">
        <x:v>Not publicly listed</x:v>
      </x:c>
      <x:c r="N4" s="35" t="str">
        <x:v>Business sales / manufacturing ingredient sourcing</x:v>
      </x:c>
      <x:c r="O4" s="35" t="str">
        <x:v>Couverture, baking chips, cocoa powders, chocolate for manufacturers</x:v>
      </x:c>
      <x:c r="P4" s="35" t="str">
        <x:v>Vanilla and natural flavor notes in chocolate and bakery chocolate products</x:v>
      </x:c>
      <x:c r="Q4" s="35" t="str">
        <x:v>Family-owned premium chocolate manufacturer with direct professional and manufacturing channels.</x:v>
      </x:c>
      <x:c r="R4" s="35" t="str">
        <x:v>Medium</x:v>
      </x:c>
      <x:c r="S4" s="35" t="str">
        <x:v>Medium</x:v>
      </x:c>
      <x:c r="T4" s="35" t="str">
        <x:v>Send sales/professional inquiry and ask for person responsible for vanilla/natural ingredient sourcing.</x:v>
      </x:c>
      <x:c r="U4" s="35" t="str">
        <x:v>250g beans + spec sheet + proposed 25kg trial price</x:v>
      </x:c>
      <x:c r="V4" s="35" t="str">
        <x:v>Official contact form + LinkedIn procurement outreach</x:v>
      </x:c>
      <x:c r="W4" s="35" t="str">
        <x:v>https://guittard.com/contact</x:v>
      </x:c>
      <x:c r="X4" s="35" t="str">
        <x:v>Official contact page lists business sales, technical and customer service contacts.</x:v>
      </x:c>
      <x:c r="Y4" s="35" t="str">
        <x:v>Not Contacted</x:v>
      </x:c>
      <x:c r="Z4" s="35" t="str"/>
      <x:c r="AA4" s="36" t="str">
        <x:v>2026-07-10</x:v>
      </x:c>
    </x:row>
    <x:row r="5" ht="58" customHeight="1">
      <x:c r="A5" s="21" t="n">
        <x:v>4</x:v>
      </x:c>
      <x:c r="B5" s="14" t="str">
        <x:v>A</x:v>
      </x:c>
      <x:c r="C5" s="14" t="n">
        <x:v>96</x:v>
      </x:c>
      <x:c r="D5" s="14" t="str">
        <x:v>Ghirardelli Chocolate Company</x:v>
      </x:c>
      <x:c r="E5" s="14" t="str">
        <x:v>Premium chocolate &amp; confectionery</x:v>
      </x:c>
      <x:c r="F5" s="14" t="str">
        <x:v>Lindt &amp; Sprüngli</x:v>
      </x:c>
      <x:c r="G5" s="14" t="str">
        <x:v>San Leandro, California, USA</x:v>
      </x:c>
      <x:c r="H5" s="14" t="str">
        <x:v>North America / foodservice</x:v>
      </x:c>
      <x:c r="I5" s="14" t="str">
        <x:v>https://www.ghirardelli.com</x:v>
      </x:c>
      <x:c r="J5" s="14" t="str">
        <x:v>https://www.ghirardelli.com/ppd-contact-us</x:v>
      </x:c>
      <x:c r="K5" s="14" t="str">
        <x:v>professionalproducts@ghirardelli.com</x:v>
      </x:c>
      <x:c r="L5" s="14" t="str">
        <x:v>+1 510 483 6970 Option 3</x:v>
      </x:c>
      <x:c r="M5" s="14" t="str">
        <x:v>Not publicly listed</x:v>
      </x:c>
      <x:c r="N5" s="14" t="str">
        <x:v>Professional Products / manufacturing procurement</x:v>
      </x:c>
      <x:c r="O5" s="14" t="str">
        <x:v>Chocolate squares, sauces, baking chips, professional chocolate products</x:v>
      </x:c>
      <x:c r="P5" s="14" t="str">
        <x:v>Premium chocolate, bakery mixes and foodservice sauces can use natural vanilla inputs</x:v>
      </x:c>
      <x:c r="Q5" s="14" t="str">
        <x:v>Large premium US chocolate brand with a professional-products route and parent-company scale.</x:v>
      </x:c>
      <x:c r="R5" s="14" t="str">
        <x:v>Large</x:v>
      </x:c>
      <x:c r="S5" s="14" t="str">
        <x:v>Medium</x:v>
      </x:c>
      <x:c r="T5" s="14" t="str">
        <x:v>Start with Professional Products; ask for ingredient sourcing contact for natural vanilla.</x:v>
      </x:c>
      <x:c r="U5" s="14" t="str">
        <x:v>250g beans + COA + sensory sheet + 25kg trial lot offer</x:v>
      </x:c>
      <x:c r="V5" s="14" t="str">
        <x:v>Official contact form + LinkedIn procurement outreach</x:v>
      </x:c>
      <x:c r="W5" s="14" t="str">
        <x:v>https://ghirardellichocolate.zendesk.com/hc/en-us/requests/new</x:v>
      </x:c>
      <x:c r="X5" s="14" t="str">
        <x:v>Official support page lists Professional Products phone/email; procurement may be separate.</x:v>
      </x:c>
      <x:c r="Y5" s="14" t="str">
        <x:v>Not Contacted</x:v>
      </x:c>
      <x:c r="Z5" s="14" t="str"/>
      <x:c r="AA5" s="22" t="str">
        <x:v>2026-07-10</x:v>
      </x:c>
    </x:row>
    <x:row r="6" ht="58" customHeight="1">
      <x:c r="A6" s="34" t="n">
        <x:v>5</x:v>
      </x:c>
      <x:c r="B6" s="35" t="str">
        <x:v>B</x:v>
      </x:c>
      <x:c r="C6" s="35" t="n">
        <x:v>84</x:v>
      </x:c>
      <x:c r="D6" s="35" t="str">
        <x:v>Lindt &amp; Sprüngli</x:v>
      </x:c>
      <x:c r="E6" s="35" t="str">
        <x:v>Premium chocolate &amp; confectionery</x:v>
      </x:c>
      <x:c r="F6" s="35" t="str">
        <x:v>Public company</x:v>
      </x:c>
      <x:c r="G6" s="35" t="str">
        <x:v>Kilchberg, Switzerland</x:v>
      </x:c>
      <x:c r="H6" s="35" t="str">
        <x:v>Global</x:v>
      </x:c>
      <x:c r="I6" s="35" t="str">
        <x:v>https://www.lindt-spruengli.com</x:v>
      </x:c>
      <x:c r="J6" s="35" t="str">
        <x:v>https://www.lindt-spruengli.com/about-us/where-we-are/our-offices</x:v>
      </x:c>
      <x:c r="K6" s="35" t="str">
        <x:v>Not publicly listed</x:v>
      </x:c>
      <x:c r="L6" s="35" t="str">
        <x:v>+41 44 716 22 33</x:v>
      </x:c>
      <x:c r="M6" s="35" t="str">
        <x:v>Not publicly listed</x:v>
      </x:c>
      <x:c r="N6" s="35" t="str">
        <x:v>Group procurement / raw materials sourcing</x:v>
      </x:c>
      <x:c r="O6" s="35" t="str">
        <x:v>Premium chocolate bars, pralines, truffles, seasonal confectionery</x:v>
      </x:c>
      <x:c r="P6" s="35" t="str">
        <x:v>Premium chocolate and fillings; strong fit for traceable, natural vanilla</x:v>
      </x:c>
      <x:c r="Q6" s="35" t="str">
        <x:v>One of the largest global premium chocolate manufacturers; strategic but slower.</x:v>
      </x:c>
      <x:c r="R6" s="35" t="str">
        <x:v>Strategic/Large</x:v>
      </x:c>
      <x:c r="S6" s="35" t="str">
        <x:v>Slow</x:v>
      </x:c>
      <x:c r="T6" s="35" t="str">
        <x:v>Route through office contact and supplier sustainability channel; pair email with LinkedIn sourcing outreach.</x:v>
      </x:c>
      <x:c r="U6" s="35" t="str">
        <x:v>100g beans + spec sheet + COA</x:v>
      </x:c>
      <x:c r="V6" s="35" t="str">
        <x:v>Official contact form + LinkedIn procurement outreach</x:v>
      </x:c>
      <x:c r="W6" s="35" t="str">
        <x:v>https://www.lindt-spruengli.com/about-us/where-we-are/our-offices</x:v>
      </x:c>
      <x:c r="X6" s="35" t="str">
        <x:v>Public corporate office details available; direct procurement email not publicly listed.</x:v>
      </x:c>
      <x:c r="Y6" s="35" t="str">
        <x:v>Not Contacted</x:v>
      </x:c>
      <x:c r="Z6" s="35" t="str"/>
      <x:c r="AA6" s="36" t="str">
        <x:v>2026-07-10</x:v>
      </x:c>
    </x:row>
    <x:row r="7" ht="58" customHeight="1">
      <x:c r="A7" s="21" t="n">
        <x:v>6</x:v>
      </x:c>
      <x:c r="B7" s="14" t="str">
        <x:v>B</x:v>
      </x:c>
      <x:c r="C7" s="14" t="n">
        <x:v>79</x:v>
      </x:c>
      <x:c r="D7" s="14" t="str">
        <x:v>Godiva</x:v>
      </x:c>
      <x:c r="E7" s="14" t="str">
        <x:v>Premium chocolate &amp; confectionery</x:v>
      </x:c>
      <x:c r="F7" s="14" t="str">
        <x:v>Pladis / Yıldız Holding</x:v>
      </x:c>
      <x:c r="G7" s="14" t="str">
        <x:v>Brussels, Belgium / New York, USA</x:v>
      </x:c>
      <x:c r="H7" s="14" t="str">
        <x:v>Global</x:v>
      </x:c>
      <x:c r="I7" s="14" t="str">
        <x:v>https://www.godiva.com</x:v>
      </x:c>
      <x:c r="J7" s="14" t="str">
        <x:v>https://www.godiva.com/contact-us</x:v>
      </x:c>
      <x:c r="K7" s="14" t="str">
        <x:v>Contact form only</x:v>
      </x:c>
      <x:c r="L7" s="14" t="str">
        <x:v>+1 800 946 3482</x:v>
      </x:c>
      <x:c r="M7" s="14" t="str">
        <x:v>Not publicly listed</x:v>
      </x:c>
      <x:c r="N7" s="14" t="str">
        <x:v>Product development / ingredient procurement</x:v>
      </x:c>
      <x:c r="O7" s="14" t="str">
        <x:v>Premium boxed chocolates, truffles, gifting, seasonal products</x:v>
      </x:c>
      <x:c r="P7" s="14" t="str">
        <x:v>Vanilla in ganaches, fillings, pralines and premium chocolate recipes</x:v>
      </x:c>
      <x:c r="Q7" s="14" t="str">
        <x:v>Global premium chocolate brand with gifting products and seasonal innovation needs.</x:v>
      </x:c>
      <x:c r="R7" s="14" t="str">
        <x:v>Medium</x:v>
      </x:c>
      <x:c r="S7" s="14" t="str">
        <x:v>Slow</x:v>
      </x:c>
      <x:c r="T7" s="14" t="str">
        <x:v>Use corporate contact form and LinkedIn procurement/product-development outreach.</x:v>
      </x:c>
      <x:c r="U7" s="14" t="str">
        <x:v>100g beans + spec sheet + COA</x:v>
      </x:c>
      <x:c r="V7" s="14" t="str">
        <x:v>Official contact form + LinkedIn procurement outreach</x:v>
      </x:c>
      <x:c r="W7" s="14" t="str">
        <x:v>https://www.godiva.com/contact-us</x:v>
      </x:c>
      <x:c r="X7" s="14" t="str">
        <x:v>Consumer phone is public; procurement-specific contact not publicly listed.</x:v>
      </x:c>
      <x:c r="Y7" s="14" t="str">
        <x:v>Not Contacted</x:v>
      </x:c>
      <x:c r="Z7" s="14" t="str"/>
      <x:c r="AA7" s="22" t="str">
        <x:v>2026-07-10</x:v>
      </x:c>
    </x:row>
    <x:row r="8" ht="58" customHeight="1">
      <x:c r="A8" s="34" t="n">
        <x:v>7</x:v>
      </x:c>
      <x:c r="B8" s="35" t="str">
        <x:v>B</x:v>
      </x:c>
      <x:c r="C8" s="35" t="n">
        <x:v>84</x:v>
      </x:c>
      <x:c r="D8" s="35" t="str">
        <x:v>Ferrero Group</x:v>
      </x:c>
      <x:c r="E8" s="35" t="str">
        <x:v>Premium chocolate &amp; confectionery</x:v>
      </x:c>
      <x:c r="F8" s="35" t="str">
        <x:v>Private</x:v>
      </x:c>
      <x:c r="G8" s="35" t="str">
        <x:v>Alba, Italy / Luxembourg</x:v>
      </x:c>
      <x:c r="H8" s="35" t="str">
        <x:v>Global</x:v>
      </x:c>
      <x:c r="I8" s="35" t="str">
        <x:v>https://www.ferrero.com</x:v>
      </x:c>
      <x:c r="J8" s="35" t="str">
        <x:v>https://www.ferrerosuppliers.com/en</x:v>
      </x:c>
      <x:c r="K8" s="35" t="str">
        <x:v>Supplier portal only</x:v>
      </x:c>
      <x:c r="L8" s="35" t="str">
        <x:v>Not publicly listed</x:v>
      </x:c>
      <x:c r="M8" s="35" t="str">
        <x:v>Not publicly listed</x:v>
      </x:c>
      <x:c r="N8" s="35" t="str">
        <x:v>Ferrero supplier application / raw materials procurement</x:v>
      </x:c>
      <x:c r="O8" s="35" t="str">
        <x:v>Ferrero Rocher, Kinder, Nutella, premium confections, biscuits and ice cream</x:v>
      </x:c>
      <x:c r="P8" s="35" t="str">
        <x:v>Large-scale confectionery, fillings and ice cream products may use vanilla/flavor ingredients</x:v>
      </x:c>
      <x:c r="Q8" s="35" t="str">
        <x:v>Huge global sweet-packaged-food company; if accepted, potential volume is large.</x:v>
      </x:c>
      <x:c r="R8" s="35" t="str">
        <x:v>Strategic/Large</x:v>
      </x:c>
      <x:c r="S8" s="35" t="str">
        <x:v>Slow</x:v>
      </x:c>
      <x:c r="T8" s="35" t="str">
        <x:v>Apply through supplier portal; emphasize traceability, quality systems and scalable Ecuador origin.</x:v>
      </x:c>
      <x:c r="U8" s="35" t="str">
        <x:v>Supplier packet first; samples only after buyer request</x:v>
      </x:c>
      <x:c r="V8" s="35" t="str">
        <x:v>Ferrero Supplier Portal</x:v>
      </x:c>
      <x:c r="W8" s="35" t="str">
        <x:v>https://www.ferrerosuppliers.com/en</x:v>
      </x:c>
      <x:c r="X8" s="35" t="str">
        <x:v>Official Ferrero supplier portal supports applications; slow qualification expected.</x:v>
      </x:c>
      <x:c r="Y8" s="35" t="str">
        <x:v>Not Contacted</x:v>
      </x:c>
      <x:c r="Z8" s="35" t="str"/>
      <x:c r="AA8" s="36" t="str">
        <x:v>2026-07-10</x:v>
      </x:c>
    </x:row>
    <x:row r="9" ht="58" customHeight="1">
      <x:c r="A9" s="21" t="n">
        <x:v>8</x:v>
      </x:c>
      <x:c r="B9" s="14" t="str">
        <x:v>B</x:v>
      </x:c>
      <x:c r="C9" s="14" t="n">
        <x:v>82</x:v>
      </x:c>
      <x:c r="D9" s="14" t="str">
        <x:v>See's Candies</x:v>
      </x:c>
      <x:c r="E9" s="14" t="str">
        <x:v>Premium chocolate &amp; confectionery</x:v>
      </x:c>
      <x:c r="F9" s="14" t="str">
        <x:v>Berkshire Hathaway</x:v>
      </x:c>
      <x:c r="G9" s="14" t="str">
        <x:v>South San Francisco, California, USA</x:v>
      </x:c>
      <x:c r="H9" s="14" t="str">
        <x:v>USA</x:v>
      </x:c>
      <x:c r="I9" s="14" t="str">
        <x:v>https://www.sees.com</x:v>
      </x:c>
      <x:c r="J9" s="14" t="str">
        <x:v>https://www.sees.com/contact-us</x:v>
      </x:c>
      <x:c r="K9" s="14" t="str">
        <x:v>Contact form only</x:v>
      </x:c>
      <x:c r="L9" s="14" t="str">
        <x:v>+1 800 347 7337</x:v>
      </x:c>
      <x:c r="M9" s="14" t="str">
        <x:v>Not publicly listed</x:v>
      </x:c>
      <x:c r="N9" s="14" t="str">
        <x:v>Ingredient sourcing / confectionery procurement</x:v>
      </x:c>
      <x:c r="O9" s="14" t="str">
        <x:v>Premium boxed chocolates, brittles, truffles, seasonal confections</x:v>
      </x:c>
      <x:c r="P9" s="14" t="str">
        <x:v>Vanilla for confectionery centers, creams, fillings and chocolate systems</x:v>
      </x:c>
      <x:c r="Q9" s="14" t="str">
        <x:v>Premium confectioner with strong gift business and manufacturing footprint.</x:v>
      </x:c>
      <x:c r="R9" s="14" t="str">
        <x:v>Medium</x:v>
      </x:c>
      <x:c r="S9" s="14" t="str">
        <x:v>Medium</x:v>
      </x:c>
      <x:c r="T9" s="14" t="str">
        <x:v>Ask customer/contact team to route to ingredient sourcing for vanilla beans and natural extracts.</x:v>
      </x:c>
      <x:c r="U9" s="14" t="str">
        <x:v>100g beans + spec sheet + COA</x:v>
      </x:c>
      <x:c r="V9" s="14" t="str">
        <x:v>Official contact form + LinkedIn procurement outreach</x:v>
      </x:c>
      <x:c r="W9" s="14" t="str">
        <x:v>https://www.sees.com/contact-us</x:v>
      </x:c>
      <x:c r="X9" s="14" t="str">
        <x:v>Public number is consumer/business support; procurement-specific details not listed.</x:v>
      </x:c>
      <x:c r="Y9" s="14" t="str">
        <x:v>Not Contacted</x:v>
      </x:c>
      <x:c r="Z9" s="14" t="str"/>
      <x:c r="AA9" s="22" t="str">
        <x:v>2026-07-10</x:v>
      </x:c>
    </x:row>
    <x:row r="10" ht="58" customHeight="1">
      <x:c r="A10" s="34" t="n">
        <x:v>9</x:v>
      </x:c>
      <x:c r="B10" s="35" t="str">
        <x:v>A</x:v>
      </x:c>
      <x:c r="C10" s="35" t="n">
        <x:v>92</x:v>
      </x:c>
      <x:c r="D10" s="35" t="str">
        <x:v>Lake Champlain Chocolates</x:v>
      </x:c>
      <x:c r="E10" s="35" t="str">
        <x:v>Premium chocolate &amp; confectionery</x:v>
      </x:c>
      <x:c r="F10" s="35" t="str">
        <x:v>Private / B Corp</x:v>
      </x:c>
      <x:c r="G10" s="35" t="str">
        <x:v>Burlington, Vermont, USA</x:v>
      </x:c>
      <x:c r="H10" s="35" t="str">
        <x:v>USA / ecommerce / wholesale</x:v>
      </x:c>
      <x:c r="I10" s="35" t="str">
        <x:v>https://www.lakechamplainchocolates.com</x:v>
      </x:c>
      <x:c r="J10" s="35" t="str">
        <x:v>https://whsl.lakechamplainchocolates.com/ecommerce/ContactUs.aspx</x:v>
      </x:c>
      <x:c r="K10" s="35" t="str">
        <x:v>sales@LakeChamplainChocolates.com</x:v>
      </x:c>
      <x:c r="L10" s="35" t="str">
        <x:v>+1 802 864 1808 / +1 800 465 5909</x:v>
      </x:c>
      <x:c r="M10" s="35" t="str">
        <x:v>Not publicly listed</x:v>
      </x:c>
      <x:c r="N10" s="35" t="str">
        <x:v>Buyer / sustainable sourcing / wholesale sales routing</x:v>
      </x:c>
      <x:c r="O10" s="35" t="str">
        <x:v>Premium chocolates, truffles, bars, cocoa products, wholesale chocolate</x:v>
      </x:c>
      <x:c r="P10" s="35" t="str">
        <x:v>Small-batch premium chocolates with sustainability positioning</x:v>
      </x:c>
      <x:c r="Q10" s="35" t="str">
        <x:v>High-fit B Corp premium chocolate buyer; likely more accessible than multinationals.</x:v>
      </x:c>
      <x:c r="R10" s="35" t="str">
        <x:v>Specialty</x:v>
      </x:c>
      <x:c r="S10" s="35" t="str">
        <x:v>Fast</x:v>
      </x:c>
      <x:c r="T10" s="35" t="str">
        <x:v>Send concise origin story and sample offer; request sustainable sourcing/buyer contact.</x:v>
      </x:c>
      <x:c r="U10" s="35" t="str">
        <x:v>100g beans + sensory notes + pricing for 5kg/25kg/100kg</x:v>
      </x:c>
      <x:c r="V10" s="35" t="str">
        <x:v>Official contact form + LinkedIn procurement outreach</x:v>
      </x:c>
      <x:c r="W10" s="35" t="str">
        <x:v>https://whsl.lakechamplainchocolates.com/ecommerce/ContactUs.aspx</x:v>
      </x:c>
      <x:c r="X10" s="35" t="str">
        <x:v>Official wholesale page lists sales email and phone.</x:v>
      </x:c>
      <x:c r="Y10" s="35" t="str">
        <x:v>Not Contacted</x:v>
      </x:c>
      <x:c r="Z10" s="35" t="str"/>
      <x:c r="AA10" s="36" t="str">
        <x:v>2026-07-10</x:v>
      </x:c>
    </x:row>
    <x:row r="11" ht="58" customHeight="1">
      <x:c r="A11" s="21" t="n">
        <x:v>10</x:v>
      </x:c>
      <x:c r="B11" s="14" t="str">
        <x:v>A</x:v>
      </x:c>
      <x:c r="C11" s="14" t="n">
        <x:v>92</x:v>
      </x:c>
      <x:c r="D11" s="14" t="str">
        <x:v>Vosges Haut-Chocolat</x:v>
      </x:c>
      <x:c r="E11" s="14" t="str">
        <x:v>Premium chocolate &amp; confectionery</x:v>
      </x:c>
      <x:c r="F11" s="14" t="str">
        <x:v>Private</x:v>
      </x:c>
      <x:c r="G11" s="14" t="str">
        <x:v>Chicago, Illinois, USA</x:v>
      </x:c>
      <x:c r="H11" s="14" t="str">
        <x:v>USA / ecommerce / luxury gifting</x:v>
      </x:c>
      <x:c r="I11" s="14" t="str">
        <x:v>https://www.vosgeschocolate.com</x:v>
      </x:c>
      <x:c r="J11" s="14" t="str">
        <x:v>https://www.vosgeschocolate.com/pages/contact</x:v>
      </x:c>
      <x:c r="K11" s="14" t="str">
        <x:v>Contact form only</x:v>
      </x:c>
      <x:c r="L11" s="14" t="str">
        <x:v>Not publicly listed</x:v>
      </x:c>
      <x:c r="M11" s="14" t="str">
        <x:v>Not publicly listed</x:v>
      </x:c>
      <x:c r="N11" s="14" t="str">
        <x:v>Founder/Head of product / ingredient sourcing</x:v>
      </x:c>
      <x:c r="O11" s="14" t="str">
        <x:v>Luxury truffles, chocolate bars, exotic flavor collections</x:v>
      </x:c>
      <x:c r="P11" s="14" t="str">
        <x:v>Premium chocolate brand with strong flavor-storytelling; vanilla can be positioned as origin ingredient</x:v>
      </x:c>
      <x:c r="Q11" s="14" t="str">
        <x:v>Small luxury manufacturer that values provenance and sensory differentiation.</x:v>
      </x:c>
      <x:c r="R11" s="14" t="str">
        <x:v>Specialty</x:v>
      </x:c>
      <x:c r="S11" s="14" t="str">
        <x:v>Fast</x:v>
      </x:c>
      <x:c r="T11" s="14" t="str">
        <x:v>Pitch limited Ecuador-origin vanilla collaboration and small initial trial.</x:v>
      </x:c>
      <x:c r="U11" s="14" t="str">
        <x:v>50g beans + sensory card + story sheet</x:v>
      </x:c>
      <x:c r="V11" s="14" t="str">
        <x:v>Official contact form + LinkedIn procurement outreach</x:v>
      </x:c>
      <x:c r="W11" s="14" t="str">
        <x:v>https://www.vosgeschocolate.com/pages/contact</x:v>
      </x:c>
      <x:c r="X11" s="14" t="str">
        <x:v>Use official contact route; verify details before sending samples.</x:v>
      </x:c>
      <x:c r="Y11" s="14" t="str">
        <x:v>Not Contacted</x:v>
      </x:c>
      <x:c r="Z11" s="14" t="str"/>
      <x:c r="AA11" s="22" t="str">
        <x:v>2026-07-10</x:v>
      </x:c>
    </x:row>
    <x:row r="12" ht="58" customHeight="1">
      <x:c r="A12" s="34" t="n">
        <x:v>11</x:v>
      </x:c>
      <x:c r="B12" s="35" t="str">
        <x:v>A</x:v>
      </x:c>
      <x:c r="C12" s="35" t="n">
        <x:v>92</x:v>
      </x:c>
      <x:c r="D12" s="35" t="str">
        <x:v>Compartés</x:v>
      </x:c>
      <x:c r="E12" s="35" t="str">
        <x:v>Premium chocolate &amp; confectionery</x:v>
      </x:c>
      <x:c r="F12" s="35" t="str">
        <x:v>Private</x:v>
      </x:c>
      <x:c r="G12" s="35" t="str">
        <x:v>Los Angeles, California, USA</x:v>
      </x:c>
      <x:c r="H12" s="35" t="str">
        <x:v>USA / luxury gifting</x:v>
      </x:c>
      <x:c r="I12" s="35" t="str">
        <x:v>https://compartes.com</x:v>
      </x:c>
      <x:c r="J12" s="35" t="str">
        <x:v>https://compartes.com/pages/contact-us</x:v>
      </x:c>
      <x:c r="K12" s="35" t="str">
        <x:v>Contact form only</x:v>
      </x:c>
      <x:c r="L12" s="35" t="str">
        <x:v>Not publicly listed</x:v>
      </x:c>
      <x:c r="M12" s="35" t="str">
        <x:v>Not publicly listed</x:v>
      </x:c>
      <x:c r="N12" s="35" t="str">
        <x:v>Product development / sourcing</x:v>
      </x:c>
      <x:c r="O12" s="35" t="str">
        <x:v>Luxury chocolate bars, truffles, gifting boxes</x:v>
      </x:c>
      <x:c r="P12" s="35" t="str">
        <x:v>Uses creative premium ingredients and limited-edition flavor concepts</x:v>
      </x:c>
      <x:c r="Q12" s="35" t="str">
        <x:v>Fast-moving premium brand; small but potentially high-margin and good for proof points.</x:v>
      </x:c>
      <x:c r="R12" s="35" t="str">
        <x:v>Specialty</x:v>
      </x:c>
      <x:c r="S12" s="35" t="str">
        <x:v>Fast</x:v>
      </x:c>
      <x:c r="T12" s="35" t="str">
        <x:v>Pitch a limited Ecuador vanilla chocolate SKU or seasonal collaboration.</x:v>
      </x:c>
      <x:c r="U12" s="35" t="str">
        <x:v>50g beans + 10-pod visual sample + story card</x:v>
      </x:c>
      <x:c r="V12" s="35" t="str">
        <x:v>Official contact form + LinkedIn procurement outreach</x:v>
      </x:c>
      <x:c r="W12" s="35" t="str">
        <x:v>https://compartes.com/pages/contact-us</x:v>
      </x:c>
      <x:c r="X12" s="35" t="str">
        <x:v>Use official contact route; verify details before sending samples.</x:v>
      </x:c>
      <x:c r="Y12" s="35" t="str">
        <x:v>Not Contacted</x:v>
      </x:c>
      <x:c r="Z12" s="35" t="str"/>
      <x:c r="AA12" s="36" t="str">
        <x:v>2026-07-10</x:v>
      </x:c>
    </x:row>
    <x:row r="13" ht="58" customHeight="1">
      <x:c r="A13" s="21" t="n">
        <x:v>12</x:v>
      </x:c>
      <x:c r="B13" s="14" t="str">
        <x:v>B</x:v>
      </x:c>
      <x:c r="C13" s="14" t="n">
        <x:v>79</x:v>
      </x:c>
      <x:c r="D13" s="14" t="str">
        <x:v>Dandelion Chocolate</x:v>
      </x:c>
      <x:c r="E13" s="14" t="str">
        <x:v>Premium chocolate &amp; confectionery</x:v>
      </x:c>
      <x:c r="F13" s="14" t="str">
        <x:v>Private</x:v>
      </x:c>
      <x:c r="G13" s="14" t="str">
        <x:v>San Francisco, California, USA</x:v>
      </x:c>
      <x:c r="H13" s="14" t="str">
        <x:v>USA / Japan / ecommerce</x:v>
      </x:c>
      <x:c r="I13" s="14" t="str">
        <x:v>https://www.dandelionchocolate.com</x:v>
      </x:c>
      <x:c r="J13" s="14" t="str">
        <x:v>https://www.dandelionchocolate.com/pages/contact</x:v>
      </x:c>
      <x:c r="K13" s="14" t="str">
        <x:v>Contact form only</x:v>
      </x:c>
      <x:c r="L13" s="14" t="str">
        <x:v>Not publicly listed</x:v>
      </x:c>
      <x:c r="M13" s="14" t="str">
        <x:v>Not publicly listed</x:v>
      </x:c>
      <x:c r="N13" s="14" t="str">
        <x:v>Sourcing / product development / cafe commissary</x:v>
      </x:c>
      <x:c r="O13" s="14" t="str">
        <x:v>Bean-to-bar chocolate, hot chocolate, pastries, cafe products</x:v>
      </x:c>
      <x:c r="P13" s="14" t="str">
        <x:v>Premium single-origin brand; vanilla may be relevant to pastries, hot chocolate and confections</x:v>
      </x:c>
      <x:c r="Q13" s="14" t="str">
        <x:v>Origin-driven buyer with strong storytelling alignment, but smaller volume.</x:v>
      </x:c>
      <x:c r="R13" s="14" t="str">
        <x:v>Specialty</x:v>
      </x:c>
      <x:c r="S13" s="14" t="str">
        <x:v>Medium</x:v>
      </x:c>
      <x:c r="T13" s="14" t="str">
        <x:v>Lead with origin transparency, farmer story, and pastry/cafe application.</x:v>
      </x:c>
      <x:c r="U13" s="14" t="str">
        <x:v>100g beans + spec sheet + COA</x:v>
      </x:c>
      <x:c r="V13" s="14" t="str">
        <x:v>Official contact form + LinkedIn procurement outreach</x:v>
      </x:c>
      <x:c r="W13" s="14" t="str">
        <x:v>https://www.dandelionchocolate.com/pages/contact</x:v>
      </x:c>
      <x:c r="X13" s="14" t="str">
        <x:v>Use official contact route; verify details before sending samples.</x:v>
      </x:c>
      <x:c r="Y13" s="14" t="str">
        <x:v>Not Contacted</x:v>
      </x:c>
      <x:c r="Z13" s="14" t="str"/>
      <x:c r="AA13" s="22" t="str">
        <x:v>2026-07-10</x:v>
      </x:c>
    </x:row>
    <x:row r="14" ht="58" customHeight="1">
      <x:c r="A14" s="34" t="n">
        <x:v>13</x:v>
      </x:c>
      <x:c r="B14" s="35" t="str">
        <x:v>A</x:v>
      </x:c>
      <x:c r="C14" s="35" t="n">
        <x:v>93</x:v>
      </x:c>
      <x:c r="D14" s="35" t="str">
        <x:v>TCHO</x:v>
      </x:c>
      <x:c r="E14" s="35" t="str">
        <x:v>Premium chocolate &amp; confectionery</x:v>
      </x:c>
      <x:c r="F14" s="35" t="str">
        <x:v>Private / B Corp</x:v>
      </x:c>
      <x:c r="G14" s="35" t="str">
        <x:v>Berkeley, California, USA</x:v>
      </x:c>
      <x:c r="H14" s="35" t="str">
        <x:v>USA / professional</x:v>
      </x:c>
      <x:c r="I14" s="35" t="str">
        <x:v>https://tcho.com</x:v>
      </x:c>
      <x:c r="J14" s="35" t="str">
        <x:v>https://tcho.com/pages/contact-us</x:v>
      </x:c>
      <x:c r="K14" s="35" t="str">
        <x:v>Contact form only</x:v>
      </x:c>
      <x:c r="L14" s="35" t="str">
        <x:v>Not publicly listed</x:v>
      </x:c>
      <x:c r="M14" s="35" t="str">
        <x:v>Not publicly listed</x:v>
      </x:c>
      <x:c r="N14" s="35" t="str">
        <x:v>Ingredient sourcing / innovation / professional chocolate team</x:v>
      </x:c>
      <x:c r="O14" s="35" t="str">
        <x:v>Chocolate bars, baking chocolate, professional chocolate products</x:v>
      </x:c>
      <x:c r="P14" s="35" t="str">
        <x:v>Natural vanilla can complement dark/milk/white chocolate and bakery systems</x:v>
      </x:c>
      <x:c r="Q14" s="35" t="str">
        <x:v>Sustainability-focused chocolate manufacturer with B2B channel.</x:v>
      </x:c>
      <x:c r="R14" s="35" t="str">
        <x:v>Medium</x:v>
      </x:c>
      <x:c r="S14" s="35" t="str">
        <x:v>Medium</x:v>
      </x:c>
      <x:c r="T14" s="35" t="str">
        <x:v>Request sourcing/innovation contact and offer blind sensory evaluation sample.</x:v>
      </x:c>
      <x:c r="U14" s="35" t="str">
        <x:v>100g beans + spec sheet + COA</x:v>
      </x:c>
      <x:c r="V14" s="35" t="str">
        <x:v>Official contact form + LinkedIn procurement outreach</x:v>
      </x:c>
      <x:c r="W14" s="35" t="str">
        <x:v>https://tcho.com/pages/contact-us</x:v>
      </x:c>
      <x:c r="X14" s="35" t="str">
        <x:v>Use official contact route; verify details before sending samples.</x:v>
      </x:c>
      <x:c r="Y14" s="35" t="str">
        <x:v>Not Contacted</x:v>
      </x:c>
      <x:c r="Z14" s="35" t="str"/>
      <x:c r="AA14" s="36" t="str">
        <x:v>2026-07-10</x:v>
      </x:c>
    </x:row>
    <x:row r="15" ht="58" customHeight="1">
      <x:c r="A15" s="21" t="n">
        <x:v>14</x:v>
      </x:c>
      <x:c r="B15" s="14" t="str">
        <x:v>A</x:v>
      </x:c>
      <x:c r="C15" s="14" t="n">
        <x:v>90</x:v>
      </x:c>
      <x:c r="D15" s="14" t="str">
        <x:v>Theo Chocolate</x:v>
      </x:c>
      <x:c r="E15" s="14" t="str">
        <x:v>Premium chocolate &amp; confectionery</x:v>
      </x:c>
      <x:c r="F15" s="14" t="str">
        <x:v>Private / mission-led</x:v>
      </x:c>
      <x:c r="G15" s="14" t="str">
        <x:v>Seattle, Washington, USA</x:v>
      </x:c>
      <x:c r="H15" s="14" t="str">
        <x:v>USA</x:v>
      </x:c>
      <x:c r="I15" s="14" t="str">
        <x:v>https://theochocolate.com</x:v>
      </x:c>
      <x:c r="J15" s="14" t="str">
        <x:v>https://theochocolate.com/contact-us</x:v>
      </x:c>
      <x:c r="K15" s="14" t="str">
        <x:v>Contact form only</x:v>
      </x:c>
      <x:c r="L15" s="14" t="str">
        <x:v>Not publicly listed</x:v>
      </x:c>
      <x:c r="M15" s="14" t="str">
        <x:v>Not publicly listed</x:v>
      </x:c>
      <x:c r="N15" s="14" t="str">
        <x:v>Procurement / product development</x:v>
      </x:c>
      <x:c r="O15" s="14" t="str">
        <x:v>Organic/fair-trade chocolate bars, confections, seasonal products</x:v>
      </x:c>
      <x:c r="P15" s="14" t="str">
        <x:v>Organic/fair-trade positioning aligns with traceable Ecuador vanilla</x:v>
      </x:c>
      <x:c r="Q15" s="14" t="str">
        <x:v>Mission-led premium chocolate maker likely to care about provenance and documentation.</x:v>
      </x:c>
      <x:c r="R15" s="14" t="str">
        <x:v>Specialty</x:v>
      </x:c>
      <x:c r="S15" s="14" t="str">
        <x:v>Medium</x:v>
      </x:c>
      <x:c r="T15" s="14" t="str">
        <x:v>Send organic/fair-trade status clearly; do not lead with commodity pricing only.</x:v>
      </x:c>
      <x:c r="U15" s="14" t="str">
        <x:v>100g beans + spec sheet + COA</x:v>
      </x:c>
      <x:c r="V15" s="14" t="str">
        <x:v>Official contact form + LinkedIn procurement outreach</x:v>
      </x:c>
      <x:c r="W15" s="14" t="str">
        <x:v>https://theochocolate.com/contact-us</x:v>
      </x:c>
      <x:c r="X15" s="14" t="str">
        <x:v>Use official contact route; verify details before sending samples.</x:v>
      </x:c>
      <x:c r="Y15" s="14" t="str">
        <x:v>Not Contacted</x:v>
      </x:c>
      <x:c r="Z15" s="14" t="str"/>
      <x:c r="AA15" s="22" t="str">
        <x:v>2026-07-10</x:v>
      </x:c>
    </x:row>
    <x:row r="16" ht="58" customHeight="1">
      <x:c r="A16" s="34" t="n">
        <x:v>15</x:v>
      </x:c>
      <x:c r="B16" s="35" t="str">
        <x:v>B</x:v>
      </x:c>
      <x:c r="C16" s="35" t="n">
        <x:v>79</x:v>
      </x:c>
      <x:c r="D16" s="35" t="str">
        <x:v>Alter Eco</x:v>
      </x:c>
      <x:c r="E16" s="35" t="str">
        <x:v>Premium chocolate &amp; confectionery</x:v>
      </x:c>
      <x:c r="F16" s="35" t="str">
        <x:v>Private / mission-led</x:v>
      </x:c>
      <x:c r="G16" s="35" t="str">
        <x:v>San Francisco Bay Area, USA</x:v>
      </x:c>
      <x:c r="H16" s="35" t="str">
        <x:v>North America</x:v>
      </x:c>
      <x:c r="I16" s="35" t="str">
        <x:v>https://www.alterecofoods.com</x:v>
      </x:c>
      <x:c r="J16" s="35" t="str">
        <x:v>https://www.alterecofoods.com/pages/contact-us</x:v>
      </x:c>
      <x:c r="K16" s="35" t="str">
        <x:v>Contact form only</x:v>
      </x:c>
      <x:c r="L16" s="35" t="str">
        <x:v>Not publicly listed</x:v>
      </x:c>
      <x:c r="M16" s="35" t="str">
        <x:v>Not publicly listed</x:v>
      </x:c>
      <x:c r="N16" s="35" t="str">
        <x:v>Sourcing / impact / product development</x:v>
      </x:c>
      <x:c r="O16" s="35" t="str">
        <x:v>Organic chocolate bars, truffles, quinoa, sustainable packaged foods</x:v>
      </x:c>
      <x:c r="P16" s="35" t="str">
        <x:v>Organic and regenerative positioning makes vanilla origin story valuable</x:v>
      </x:c>
      <x:c r="Q16" s="35" t="str">
        <x:v>Strong sustainability/traceability fit; likely outsourced/co-manufactured but influential.</x:v>
      </x:c>
      <x:c r="R16" s="35" t="str">
        <x:v>Specialty</x:v>
      </x:c>
      <x:c r="S16" s="35" t="str">
        <x:v>Medium</x:v>
      </x:c>
      <x:c r="T16" s="35" t="str">
        <x:v>Pitch as mission-aligned Ecuadorian vanilla with transparent farm-level data.</x:v>
      </x:c>
      <x:c r="U16" s="35" t="str">
        <x:v>100g beans + spec sheet + COA</x:v>
      </x:c>
      <x:c r="V16" s="35" t="str">
        <x:v>Official contact form + LinkedIn procurement outreach</x:v>
      </x:c>
      <x:c r="W16" s="35" t="str">
        <x:v>https://www.alterecofoods.com/pages/contact-us</x:v>
      </x:c>
      <x:c r="X16" s="35" t="str">
        <x:v>Use official contact route; verify details before sending samples.</x:v>
      </x:c>
      <x:c r="Y16" s="35" t="str">
        <x:v>Not Contacted</x:v>
      </x:c>
      <x:c r="Z16" s="35" t="str"/>
      <x:c r="AA16" s="36" t="str">
        <x:v>2026-07-10</x:v>
      </x:c>
    </x:row>
    <x:row r="17" ht="58" customHeight="1">
      <x:c r="A17" s="21" t="n">
        <x:v>16</x:v>
      </x:c>
      <x:c r="B17" s="14" t="str">
        <x:v>B</x:v>
      </x:c>
      <x:c r="C17" s="14" t="n">
        <x:v>82</x:v>
      </x:c>
      <x:c r="D17" s="14" t="str">
        <x:v>Tony's Chocolonely</x:v>
      </x:c>
      <x:c r="E17" s="14" t="str">
        <x:v>Premium chocolate &amp; confectionery</x:v>
      </x:c>
      <x:c r="F17" s="14" t="str">
        <x:v>Private / impact brand</x:v>
      </x:c>
      <x:c r="G17" s="14" t="str">
        <x:v>Amsterdam, Netherlands</x:v>
      </x:c>
      <x:c r="H17" s="14" t="str">
        <x:v>Europe / USA</x:v>
      </x:c>
      <x:c r="I17" s="14" t="str">
        <x:v>https://tonyschocolonely.com</x:v>
      </x:c>
      <x:c r="J17" s="14" t="str">
        <x:v>https://tonyschocolonely.com/us/en/contact</x:v>
      </x:c>
      <x:c r="K17" s="14" t="str">
        <x:v>Contact form only</x:v>
      </x:c>
      <x:c r="L17" s="14" t="str">
        <x:v>Not publicly listed</x:v>
      </x:c>
      <x:c r="M17" s="14" t="str">
        <x:v>Not publicly listed</x:v>
      </x:c>
      <x:c r="N17" s="14" t="str">
        <x:v>Ingredient sourcing / impact sourcing</x:v>
      </x:c>
      <x:c r="O17" s="14" t="str">
        <x:v>Chocolate bars, seasonal confections, private collaborations</x:v>
      </x:c>
      <x:c r="P17" s="14" t="str">
        <x:v>Vanilla in milk chocolate, white chocolate and limited SKUs</x:v>
      </x:c>
      <x:c r="Q17" s="14" t="str">
        <x:v>Impact-driven chocolate brand; origin transparency may matter more than lowest price.</x:v>
      </x:c>
      <x:c r="R17" s="14" t="str">
        <x:v>Medium</x:v>
      </x:c>
      <x:c r="S17" s="14" t="str">
        <x:v>Medium</x:v>
      </x:c>
      <x:c r="T17" s="14" t="str">
        <x:v>Frame around transparent supply, living income, clean testing and scalable origin diversification.</x:v>
      </x:c>
      <x:c r="U17" s="14" t="str">
        <x:v>100g beans + spec sheet + COA</x:v>
      </x:c>
      <x:c r="V17" s="14" t="str">
        <x:v>Official contact form + LinkedIn procurement outreach</x:v>
      </x:c>
      <x:c r="W17" s="14" t="str">
        <x:v>https://tonyschocolonely.com/us/en/contact</x:v>
      </x:c>
      <x:c r="X17" s="14" t="str">
        <x:v>Use official contact route; verify details before sending samples.</x:v>
      </x:c>
      <x:c r="Y17" s="14" t="str">
        <x:v>Not Contacted</x:v>
      </x:c>
      <x:c r="Z17" s="14" t="str"/>
      <x:c r="AA17" s="22" t="str">
        <x:v>2026-07-10</x:v>
      </x:c>
    </x:row>
    <x:row r="18" ht="58" customHeight="1">
      <x:c r="A18" s="34" t="n">
        <x:v>17</x:v>
      </x:c>
      <x:c r="B18" s="35" t="str">
        <x:v>B</x:v>
      </x:c>
      <x:c r="C18" s="35" t="n">
        <x:v>79</x:v>
      </x:c>
      <x:c r="D18" s="35" t="str">
        <x:v>Divine Chocolate</x:v>
      </x:c>
      <x:c r="E18" s="35" t="str">
        <x:v>Premium chocolate &amp; confectionery</x:v>
      </x:c>
      <x:c r="F18" s="35" t="str">
        <x:v>Mission-led company</x:v>
      </x:c>
      <x:c r="G18" s="35" t="str">
        <x:v>London, United Kingdom / USA</x:v>
      </x:c>
      <x:c r="H18" s="35" t="str">
        <x:v>UK / USA</x:v>
      </x:c>
      <x:c r="I18" s="35" t="str">
        <x:v>https://www.divinechocolate.com</x:v>
      </x:c>
      <x:c r="J18" s="35" t="str">
        <x:v>https://www.divinechocolate.com/contact-us</x:v>
      </x:c>
      <x:c r="K18" s="35" t="str">
        <x:v>Contact form only</x:v>
      </x:c>
      <x:c r="L18" s="35" t="str">
        <x:v>Not publicly listed</x:v>
      </x:c>
      <x:c r="M18" s="35" t="str">
        <x:v>Not publicly listed</x:v>
      </x:c>
      <x:c r="N18" s="35" t="str">
        <x:v>Ethical sourcing / product development</x:v>
      </x:c>
      <x:c r="O18" s="35" t="str">
        <x:v>Fairtrade chocolate bars, baking chocolate, gifting</x:v>
      </x:c>
      <x:c r="P18" s="35" t="str">
        <x:v>Vanilla for fair-trade chocolate products and baking applications</x:v>
      </x:c>
      <x:c r="Q18" s="35" t="str">
        <x:v>Ethical sourcing fit; likely open to documented farmer-benefit stories.</x:v>
      </x:c>
      <x:c r="R18" s="35" t="str">
        <x:v>Specialty</x:v>
      </x:c>
      <x:c r="S18" s="35" t="str">
        <x:v>Medium</x:v>
      </x:c>
      <x:c r="T18" s="35" t="str">
        <x:v>Pitch certified/traceable supply and farmer impact data.</x:v>
      </x:c>
      <x:c r="U18" s="35" t="str">
        <x:v>100g beans + spec sheet + COA</x:v>
      </x:c>
      <x:c r="V18" s="35" t="str">
        <x:v>Official contact form + LinkedIn procurement outreach</x:v>
      </x:c>
      <x:c r="W18" s="35" t="str">
        <x:v>https://www.divinechocolate.com/contact-us</x:v>
      </x:c>
      <x:c r="X18" s="35" t="str">
        <x:v>Use official contact route; verify details before sending samples.</x:v>
      </x:c>
      <x:c r="Y18" s="35" t="str">
        <x:v>Not Contacted</x:v>
      </x:c>
      <x:c r="Z18" s="35" t="str"/>
      <x:c r="AA18" s="36" t="str">
        <x:v>2026-07-10</x:v>
      </x:c>
    </x:row>
    <x:row r="19" ht="58" customHeight="1">
      <x:c r="A19" s="21" t="n">
        <x:v>18</x:v>
      </x:c>
      <x:c r="B19" s="14" t="str">
        <x:v>B</x:v>
      </x:c>
      <x:c r="C19" s="14" t="n">
        <x:v>79</x:v>
      </x:c>
      <x:c r="D19" s="14" t="str">
        <x:v>Hotel Chocolat</x:v>
      </x:c>
      <x:c r="E19" s="14" t="str">
        <x:v>Premium chocolate &amp; confectionery</x:v>
      </x:c>
      <x:c r="F19" s="14" t="str">
        <x:v>Mars Inc.</x:v>
      </x:c>
      <x:c r="G19" s="14" t="str">
        <x:v>Royston, United Kingdom</x:v>
      </x:c>
      <x:c r="H19" s="14" t="str">
        <x:v>UK / international</x:v>
      </x:c>
      <x:c r="I19" s="14" t="str">
        <x:v>https://www.hotelchocolat.com</x:v>
      </x:c>
      <x:c r="J19" s="14" t="str">
        <x:v>https://www.hotelchocolat.com/uk/contact-us</x:v>
      </x:c>
      <x:c r="K19" s="14" t="str">
        <x:v>Contact form only</x:v>
      </x:c>
      <x:c r="L19" s="14" t="str">
        <x:v>Not publicly listed</x:v>
      </x:c>
      <x:c r="M19" s="14" t="str">
        <x:v>Not publicly listed</x:v>
      </x:c>
      <x:c r="N19" s="14" t="str">
        <x:v>Mars/Hotel Chocolat procurement / product innovation</x:v>
      </x:c>
      <x:c r="O19" s="14" t="str">
        <x:v>Premium chocolate, selectors, drinks, cacao-based retail products</x:v>
      </x:c>
      <x:c r="P19" s="14" t="str">
        <x:v>Premium cocoa/chocolate products; natural vanilla as premium flavoring</x:v>
      </x:c>
      <x:c r="Q19" s="14" t="str">
        <x:v>Luxury chocolate retailer/manufacturer with product innovation and parent scale.</x:v>
      </x:c>
      <x:c r="R19" s="14" t="str">
        <x:v>Medium</x:v>
      </x:c>
      <x:c r="S19" s="14" t="str">
        <x:v>Slow</x:v>
      </x:c>
      <x:c r="T19" s="14" t="str">
        <x:v>Route through contact and Mars procurement network; pitch special Ecuador-origin programs.</x:v>
      </x:c>
      <x:c r="U19" s="14" t="str">
        <x:v>100g beans + spec sheet + COA</x:v>
      </x:c>
      <x:c r="V19" s="14" t="str">
        <x:v>Official contact form + LinkedIn procurement outreach</x:v>
      </x:c>
      <x:c r="W19" s="14" t="str">
        <x:v>https://www.hotelchocolat.com/uk/contact-us</x:v>
      </x:c>
      <x:c r="X19" s="14" t="str">
        <x:v>Use official contact route; verify details before sending samples.</x:v>
      </x:c>
      <x:c r="Y19" s="14" t="str">
        <x:v>Not Contacted</x:v>
      </x:c>
      <x:c r="Z19" s="14" t="str"/>
      <x:c r="AA19" s="22" t="str">
        <x:v>2026-07-10</x:v>
      </x:c>
    </x:row>
    <x:row r="20" ht="58" customHeight="1">
      <x:c r="A20" s="34" t="n">
        <x:v>19</x:v>
      </x:c>
      <x:c r="B20" s="35" t="str">
        <x:v>B</x:v>
      </x:c>
      <x:c r="C20" s="35" t="n">
        <x:v>79</x:v>
      </x:c>
      <x:c r="D20" s="35" t="str">
        <x:v>Chocolove</x:v>
      </x:c>
      <x:c r="E20" s="35" t="str">
        <x:v>Premium chocolate &amp; confectionery</x:v>
      </x:c>
      <x:c r="F20" s="35" t="str">
        <x:v>Private</x:v>
      </x:c>
      <x:c r="G20" s="35" t="str">
        <x:v>Boulder, Colorado, USA</x:v>
      </x:c>
      <x:c r="H20" s="35" t="str">
        <x:v>USA / retail</x:v>
      </x:c>
      <x:c r="I20" s="35" t="str">
        <x:v>https://www.chocolove.com</x:v>
      </x:c>
      <x:c r="J20" s="35" t="str">
        <x:v>https://www.chocolove.com/contact-us</x:v>
      </x:c>
      <x:c r="K20" s="35" t="str">
        <x:v>Contact form only</x:v>
      </x:c>
      <x:c r="L20" s="35" t="str">
        <x:v>Not publicly listed</x:v>
      </x:c>
      <x:c r="M20" s="35" t="str">
        <x:v>Not publicly listed</x:v>
      </x:c>
      <x:c r="N20" s="35" t="str">
        <x:v>Purchasing / product development</x:v>
      </x:c>
      <x:c r="O20" s="35" t="str">
        <x:v>Premium chocolate bars and cups</x:v>
      </x:c>
      <x:c r="P20" s="35" t="str">
        <x:v>Vanilla in milk/dark chocolate bars and flavor inclusions</x:v>
      </x:c>
      <x:c r="Q20" s="35" t="str">
        <x:v>Accessible premium chocolate manufacturer; potential for trial lots.</x:v>
      </x:c>
      <x:c r="R20" s="35" t="str">
        <x:v>Specialty</x:v>
      </x:c>
      <x:c r="S20" s="35" t="str">
        <x:v>Medium</x:v>
      </x:c>
      <x:c r="T20" s="35" t="str">
        <x:v>Ask for buyer responsible for flavor ingredients; propose 5kg lab trial.</x:v>
      </x:c>
      <x:c r="U20" s="35" t="str">
        <x:v>100g beans + spec sheet + COA</x:v>
      </x:c>
      <x:c r="V20" s="35" t="str">
        <x:v>Official contact form + LinkedIn procurement outreach</x:v>
      </x:c>
      <x:c r="W20" s="35" t="str">
        <x:v>https://www.chocolove.com/contact-us</x:v>
      </x:c>
      <x:c r="X20" s="35" t="str">
        <x:v>Use official contact route; verify details before sending samples.</x:v>
      </x:c>
      <x:c r="Y20" s="35" t="str">
        <x:v>Not Contacted</x:v>
      </x:c>
      <x:c r="Z20" s="35" t="str"/>
      <x:c r="AA20" s="36" t="str">
        <x:v>2026-07-10</x:v>
      </x:c>
    </x:row>
    <x:row r="21" ht="58" customHeight="1">
      <x:c r="A21" s="21" t="n">
        <x:v>20</x:v>
      </x:c>
      <x:c r="B21" s="14" t="str">
        <x:v>B</x:v>
      </x:c>
      <x:c r="C21" s="14" t="n">
        <x:v>79</x:v>
      </x:c>
      <x:c r="D21" s="14" t="str">
        <x:v>Endangered Species Chocolate</x:v>
      </x:c>
      <x:c r="E21" s="14" t="str">
        <x:v>Premium chocolate &amp; confectionery</x:v>
      </x:c>
      <x:c r="F21" s="14" t="str">
        <x:v>Private / mission-led</x:v>
      </x:c>
      <x:c r="G21" s="14" t="str">
        <x:v>Indianapolis, Indiana, USA</x:v>
      </x:c>
      <x:c r="H21" s="14" t="str">
        <x:v>USA</x:v>
      </x:c>
      <x:c r="I21" s="14" t="str">
        <x:v>https://www.chocolatebar.com</x:v>
      </x:c>
      <x:c r="J21" s="14" t="str">
        <x:v>https://www.chocolatebar.com/pages/contact-us</x:v>
      </x:c>
      <x:c r="K21" s="14" t="str">
        <x:v>Contact form only</x:v>
      </x:c>
      <x:c r="L21" s="14" t="str">
        <x:v>Not publicly listed</x:v>
      </x:c>
      <x:c r="M21" s="14" t="str">
        <x:v>Not publicly listed</x:v>
      </x:c>
      <x:c r="N21" s="14" t="str">
        <x:v>Procurement / sustainability / R&amp;D</x:v>
      </x:c>
      <x:c r="O21" s="14" t="str">
        <x:v>Premium chocolate bars, baking chocolate, seasonal products</x:v>
      </x:c>
      <x:c r="P21" s="14" t="str">
        <x:v>Natural vanilla for chocolate bars and inclusions</x:v>
      </x:c>
      <x:c r="Q21" s="14" t="str">
        <x:v>Mission-driven chocolate brand; good fit for biodiversity and traceability message.</x:v>
      </x:c>
      <x:c r="R21" s="14" t="str">
        <x:v>Specialty</x:v>
      </x:c>
      <x:c r="S21" s="14" t="str">
        <x:v>Medium</x:v>
      </x:c>
      <x:c r="T21" s="14" t="str">
        <x:v>Connect Ecuador vanilla to biodiversity/farmer impact and clean-label formulation.</x:v>
      </x:c>
      <x:c r="U21" s="14" t="str">
        <x:v>100g beans + spec sheet + COA</x:v>
      </x:c>
      <x:c r="V21" s="14" t="str">
        <x:v>Official contact form + LinkedIn procurement outreach</x:v>
      </x:c>
      <x:c r="W21" s="14" t="str">
        <x:v>https://www.chocolatebar.com/pages/contact-us</x:v>
      </x:c>
      <x:c r="X21" s="14" t="str">
        <x:v>Use official contact route; verify details before sending samples.</x:v>
      </x:c>
      <x:c r="Y21" s="14" t="str">
        <x:v>Not Contacted</x:v>
      </x:c>
      <x:c r="Z21" s="14" t="str"/>
      <x:c r="AA21" s="22" t="str">
        <x:v>2026-07-10</x:v>
      </x:c>
    </x:row>
    <x:row r="22" ht="58" customHeight="1">
      <x:c r="A22" s="34" t="n">
        <x:v>21</x:v>
      </x:c>
      <x:c r="B22" s="35" t="str">
        <x:v>B</x:v>
      </x:c>
      <x:c r="C22" s="35" t="n">
        <x:v>82</x:v>
      </x:c>
      <x:c r="D22" s="35" t="str">
        <x:v>Ritter Sport</x:v>
      </x:c>
      <x:c r="E22" s="35" t="str">
        <x:v>Premium chocolate &amp; confectionery</x:v>
      </x:c>
      <x:c r="F22" s="35" t="str">
        <x:v>Alfred Ritter GmbH &amp; Co. KG</x:v>
      </x:c>
      <x:c r="G22" s="35" t="str">
        <x:v>Waldenbuch, Germany</x:v>
      </x:c>
      <x:c r="H22" s="35" t="str">
        <x:v>Europe / global</x:v>
      </x:c>
      <x:c r="I22" s="35" t="str">
        <x:v>https://www.ritter-sport.com</x:v>
      </x:c>
      <x:c r="J22" s="35" t="str">
        <x:v>https://www.ritter-sport.com/en/contact</x:v>
      </x:c>
      <x:c r="K22" s="35" t="str">
        <x:v>Contact form only</x:v>
      </x:c>
      <x:c r="L22" s="35" t="str">
        <x:v>Not publicly listed</x:v>
      </x:c>
      <x:c r="M22" s="35" t="str">
        <x:v>Not publicly listed</x:v>
      </x:c>
      <x:c r="N22" s="35" t="str">
        <x:v>Raw material procurement / product development</x:v>
      </x:c>
      <x:c r="O22" s="35" t="str">
        <x:v>Chocolate squares, filled chocolate bars, seasonal products</x:v>
      </x:c>
      <x:c r="P22" s="35" t="str">
        <x:v>Vanilla in milk chocolate, white chocolate and fillings</x:v>
      </x:c>
      <x:c r="Q22" s="35" t="str">
        <x:v>Large premium European chocolate manufacturer; strategic but slower.</x:v>
      </x:c>
      <x:c r="R22" s="35" t="str">
        <x:v>Large</x:v>
      </x:c>
      <x:c r="S22" s="35" t="str">
        <x:v>Slow</x:v>
      </x:c>
      <x:c r="T22" s="35" t="str">
        <x:v>Lead with EU-compliant testing, traceability and CIF Rotterdam/Hamburg pricing.</x:v>
      </x:c>
      <x:c r="U22" s="35" t="str">
        <x:v>100g beans + spec sheet + COA</x:v>
      </x:c>
      <x:c r="V22" s="35" t="str">
        <x:v>Official contact form + LinkedIn procurement outreach</x:v>
      </x:c>
      <x:c r="W22" s="35" t="str">
        <x:v>https://www.ritter-sport.com/en/contact</x:v>
      </x:c>
      <x:c r="X22" s="35" t="str">
        <x:v>Use official contact route; verify details before sending samples.</x:v>
      </x:c>
      <x:c r="Y22" s="35" t="str">
        <x:v>Not Contacted</x:v>
      </x:c>
      <x:c r="Z22" s="35" t="str"/>
      <x:c r="AA22" s="36" t="str">
        <x:v>2026-07-10</x:v>
      </x:c>
    </x:row>
    <x:row r="23" ht="58" customHeight="1">
      <x:c r="A23" s="21" t="n">
        <x:v>22</x:v>
      </x:c>
      <x:c r="B23" s="14" t="str">
        <x:v>A</x:v>
      </x:c>
      <x:c r="C23" s="14" t="n">
        <x:v>90</x:v>
      </x:c>
      <x:c r="D23" s="14" t="str">
        <x:v>Zotter Schokolade</x:v>
      </x:c>
      <x:c r="E23" s="14" t="str">
        <x:v>Premium chocolate &amp; confectionery</x:v>
      </x:c>
      <x:c r="F23" s="14" t="str">
        <x:v>Private</x:v>
      </x:c>
      <x:c r="G23" s="14" t="str">
        <x:v>Riegersburg, Austria</x:v>
      </x:c>
      <x:c r="H23" s="14" t="str">
        <x:v>Europe / specialty export</x:v>
      </x:c>
      <x:c r="I23" s="14" t="str">
        <x:v>https://www.zotter.at</x:v>
      </x:c>
      <x:c r="J23" s="14" t="str">
        <x:v>https://www.zotter.at/en/contact</x:v>
      </x:c>
      <x:c r="K23" s="14" t="str">
        <x:v>Contact form only</x:v>
      </x:c>
      <x:c r="L23" s="14" t="str">
        <x:v>Not publicly listed</x:v>
      </x:c>
      <x:c r="M23" s="14" t="str">
        <x:v>Not publicly listed</x:v>
      </x:c>
      <x:c r="N23" s="14" t="str">
        <x:v>Raw materials / organic-fair sourcing</x:v>
      </x:c>
      <x:c r="O23" s="14" t="str">
        <x:v>Organic fair-trade bean-to-bar chocolate, filled bars, drinking chocolate</x:v>
      </x:c>
      <x:c r="P23" s="14" t="str">
        <x:v>Vanilla as organic/fair ingredient for chocolate and filled bars</x:v>
      </x:c>
      <x:c r="Q23" s="14" t="str">
        <x:v>Experimental premium chocolate maker; likely values unique origin ingredients.</x:v>
      </x:c>
      <x:c r="R23" s="14" t="str">
        <x:v>Specialty</x:v>
      </x:c>
      <x:c r="S23" s="14" t="str">
        <x:v>Medium</x:v>
      </x:c>
      <x:c r="T23" s="14" t="str">
        <x:v>Pitch as Ecuador-origin specialty ingredient, not bulk commodity.</x:v>
      </x:c>
      <x:c r="U23" s="14" t="str">
        <x:v>100g beans + spec sheet + COA</x:v>
      </x:c>
      <x:c r="V23" s="14" t="str">
        <x:v>Official contact form + LinkedIn procurement outreach</x:v>
      </x:c>
      <x:c r="W23" s="14" t="str">
        <x:v>https://www.zotter.at/en/contact</x:v>
      </x:c>
      <x:c r="X23" s="14" t="str">
        <x:v>Use official contact route; verify details before sending samples.</x:v>
      </x:c>
      <x:c r="Y23" s="14" t="str">
        <x:v>Not Contacted</x:v>
      </x:c>
      <x:c r="Z23" s="14" t="str"/>
      <x:c r="AA23" s="22" t="str">
        <x:v>2026-07-10</x:v>
      </x:c>
    </x:row>
    <x:row r="24" ht="58" customHeight="1">
      <x:c r="A24" s="34" t="n">
        <x:v>23</x:v>
      </x:c>
      <x:c r="B24" s="35" t="str">
        <x:v>B</x:v>
      </x:c>
      <x:c r="C24" s="35" t="n">
        <x:v>79</x:v>
      </x:c>
      <x:c r="D24" s="35" t="str">
        <x:v>Amedei Toscana</x:v>
      </x:c>
      <x:c r="E24" s="35" t="str">
        <x:v>Premium chocolate &amp; confectionery</x:v>
      </x:c>
      <x:c r="F24" s="35" t="str">
        <x:v>Ferrarelle Group</x:v>
      </x:c>
      <x:c r="G24" s="35" t="str">
        <x:v>Pontedera, Italy</x:v>
      </x:c>
      <x:c r="H24" s="35" t="str">
        <x:v>Italy / luxury export</x:v>
      </x:c>
      <x:c r="I24" s="35" t="str">
        <x:v>https://amedei.it</x:v>
      </x:c>
      <x:c r="J24" s="35" t="str">
        <x:v>https://amedei.it/en/contacts/</x:v>
      </x:c>
      <x:c r="K24" s="35" t="str">
        <x:v>Contact form only</x:v>
      </x:c>
      <x:c r="L24" s="35" t="str">
        <x:v>Not publicly listed</x:v>
      </x:c>
      <x:c r="M24" s="35" t="str">
        <x:v>Not publicly listed</x:v>
      </x:c>
      <x:c r="N24" s="35" t="str">
        <x:v>Product development / procurement</x:v>
      </x:c>
      <x:c r="O24" s="35" t="str">
        <x:v>Luxury chocolate bars, pralines, spreads</x:v>
      </x:c>
      <x:c r="P24" s="35" t="str">
        <x:v>High-end chocolate applications and gift products</x:v>
      </x:c>
      <x:c r="Q24" s="35" t="str">
        <x:v>Luxury Italian chocolate brand where premium origin story matters.</x:v>
      </x:c>
      <x:c r="R24" s="35" t="str">
        <x:v>Specialty</x:v>
      </x:c>
      <x:c r="S24" s="35" t="str">
        <x:v>Medium</x:v>
      </x:c>
      <x:c r="T24" s="35" t="str">
        <x:v>Send small sensory sample and pitch limited-edition Ecuador vanilla pairing.</x:v>
      </x:c>
      <x:c r="U24" s="35" t="str">
        <x:v>100g beans + spec sheet + COA</x:v>
      </x:c>
      <x:c r="V24" s="35" t="str">
        <x:v>Official contact form + LinkedIn procurement outreach</x:v>
      </x:c>
      <x:c r="W24" s="35" t="str">
        <x:v>https://amedei.it/en/contacts/</x:v>
      </x:c>
      <x:c r="X24" s="35" t="str">
        <x:v>Use official contact route; verify details before sending samples.</x:v>
      </x:c>
      <x:c r="Y24" s="35" t="str">
        <x:v>Not Contacted</x:v>
      </x:c>
      <x:c r="Z24" s="35" t="str"/>
      <x:c r="AA24" s="36" t="str">
        <x:v>2026-07-10</x:v>
      </x:c>
    </x:row>
    <x:row r="25" ht="58" customHeight="1">
      <x:c r="A25" s="21" t="n">
        <x:v>24</x:v>
      </x:c>
      <x:c r="B25" s="14" t="str">
        <x:v>B</x:v>
      </x:c>
      <x:c r="C25" s="14" t="n">
        <x:v>79</x:v>
      </x:c>
      <x:c r="D25" s="14" t="str">
        <x:v>Domori</x:v>
      </x:c>
      <x:c r="E25" s="14" t="str">
        <x:v>Premium chocolate &amp; confectionery</x:v>
      </x:c>
      <x:c r="F25" s="14" t="str">
        <x:v>Illy Group / Polo del Gusto</x:v>
      </x:c>
      <x:c r="G25" s="14" t="str">
        <x:v>None, Piedmont, Italy</x:v>
      </x:c>
      <x:c r="H25" s="14" t="str">
        <x:v>Europe / global luxury</x:v>
      </x:c>
      <x:c r="I25" s="14" t="str">
        <x:v>https://domori.com</x:v>
      </x:c>
      <x:c r="J25" s="14" t="str">
        <x:v>https://domori.com/en/contact</x:v>
      </x:c>
      <x:c r="K25" s="14" t="str">
        <x:v>Contact form only</x:v>
      </x:c>
      <x:c r="L25" s="14" t="str">
        <x:v>Not publicly listed</x:v>
      </x:c>
      <x:c r="M25" s="14" t="str">
        <x:v>Not publicly listed</x:v>
      </x:c>
      <x:c r="N25" s="14" t="str">
        <x:v>Ingredient sourcing / product innovation</x:v>
      </x:c>
      <x:c r="O25" s="14" t="str">
        <x:v>Fine chocolate, single-origin bars, gianduja, spreads</x:v>
      </x:c>
      <x:c r="P25" s="14" t="str">
        <x:v>Premium vanilla pairing in confections, spreads and specialty bars</x:v>
      </x:c>
      <x:c r="Q25" s="14" t="str">
        <x:v>Fine-flavor chocolate house with origin-driven positioning.</x:v>
      </x:c>
      <x:c r="R25" s="14" t="str">
        <x:v>Specialty</x:v>
      </x:c>
      <x:c r="S25" s="14" t="str">
        <x:v>Medium</x:v>
      </x:c>
      <x:c r="T25" s="14" t="str">
        <x:v>Lead with sensory language and rare-origin collaboration concept.</x:v>
      </x:c>
      <x:c r="U25" s="14" t="str">
        <x:v>100g beans + spec sheet + COA</x:v>
      </x:c>
      <x:c r="V25" s="14" t="str">
        <x:v>Official contact form + LinkedIn procurement outreach</x:v>
      </x:c>
      <x:c r="W25" s="14" t="str">
        <x:v>https://domori.com/en/contact</x:v>
      </x:c>
      <x:c r="X25" s="14" t="str">
        <x:v>Use official contact route; verify details before sending samples.</x:v>
      </x:c>
      <x:c r="Y25" s="14" t="str">
        <x:v>Not Contacted</x:v>
      </x:c>
      <x:c r="Z25" s="14" t="str"/>
      <x:c r="AA25" s="22" t="str">
        <x:v>2026-07-10</x:v>
      </x:c>
    </x:row>
    <x:row r="26" ht="58" customHeight="1">
      <x:c r="A26" s="34" t="n">
        <x:v>25</x:v>
      </x:c>
      <x:c r="B26" s="35" t="str">
        <x:v>A</x:v>
      </x:c>
      <x:c r="C26" s="35" t="n">
        <x:v>93</x:v>
      </x:c>
      <x:c r="D26" s="35" t="str">
        <x:v>Venchi</x:v>
      </x:c>
      <x:c r="E26" s="35" t="str">
        <x:v>Premium chocolate &amp; confectionery</x:v>
      </x:c>
      <x:c r="F26" s="35" t="str">
        <x:v>Private</x:v>
      </x:c>
      <x:c r="G26" s="35" t="str">
        <x:v>Cuneo, Italy</x:v>
      </x:c>
      <x:c r="H26" s="35" t="str">
        <x:v>Europe / USA / Asia</x:v>
      </x:c>
      <x:c r="I26" s="35" t="str">
        <x:v>https://us.venchi.com</x:v>
      </x:c>
      <x:c r="J26" s="35" t="str">
        <x:v>https://us.venchi.com/contact-us</x:v>
      </x:c>
      <x:c r="K26" s="35" t="str">
        <x:v>Contact form only</x:v>
      </x:c>
      <x:c r="L26" s="35" t="str">
        <x:v>Not publicly listed</x:v>
      </x:c>
      <x:c r="M26" s="35" t="str">
        <x:v>Not publicly listed</x:v>
      </x:c>
      <x:c r="N26" s="35" t="str">
        <x:v>Procurement / gelato and chocolate R&amp;D</x:v>
      </x:c>
      <x:c r="O26" s="35" t="str">
        <x:v>Premium chocolate, gianduja, gelato, spreads and pralines</x:v>
      </x:c>
      <x:c r="P26" s="35" t="str">
        <x:v>Vanilla in gelato, white chocolate, pralines and spreads</x:v>
      </x:c>
      <x:c r="Q26" s="35" t="str">
        <x:v>High-fit because Venchi operates both chocolate and gelato formats.</x:v>
      </x:c>
      <x:c r="R26" s="35" t="str">
        <x:v>Medium</x:v>
      </x:c>
      <x:c r="S26" s="35" t="str">
        <x:v>Medium</x:v>
      </x:c>
      <x:c r="T26" s="35" t="str">
        <x:v>Pitch dual use: gelato-quality vanilla plus chocolate/confectionery applications.</x:v>
      </x:c>
      <x:c r="U26" s="35" t="str">
        <x:v>100g beans + spec sheet + COA</x:v>
      </x:c>
      <x:c r="V26" s="35" t="str">
        <x:v>Official contact form + LinkedIn procurement outreach</x:v>
      </x:c>
      <x:c r="W26" s="35" t="str">
        <x:v>https://us.venchi.com/contact-us</x:v>
      </x:c>
      <x:c r="X26" s="35" t="str">
        <x:v>Use official contact route; verify details before sending samples.</x:v>
      </x:c>
      <x:c r="Y26" s="35" t="str">
        <x:v>Not Contacted</x:v>
      </x:c>
      <x:c r="Z26" s="35" t="str"/>
      <x:c r="AA26" s="36" t="str">
        <x:v>2026-07-10</x:v>
      </x:c>
    </x:row>
    <x:row r="27" ht="58" customHeight="1">
      <x:c r="A27" s="21" t="n">
        <x:v>26</x:v>
      </x:c>
      <x:c r="B27" s="14" t="str">
        <x:v>B</x:v>
      </x:c>
      <x:c r="C27" s="14" t="n">
        <x:v>79</x:v>
      </x:c>
      <x:c r="D27" s="14" t="str">
        <x:v>Michel Cluizel</x:v>
      </x:c>
      <x:c r="E27" s="14" t="str">
        <x:v>Premium chocolate &amp; confectionery</x:v>
      </x:c>
      <x:c r="F27" s="14" t="str">
        <x:v>Family-owned</x:v>
      </x:c>
      <x:c r="G27" s="14" t="str">
        <x:v>Normandy, France</x:v>
      </x:c>
      <x:c r="H27" s="14" t="str">
        <x:v>Europe / professional / export</x:v>
      </x:c>
      <x:c r="I27" s="14" t="str">
        <x:v>https://www.cluizel.com</x:v>
      </x:c>
      <x:c r="J27" s="14" t="str">
        <x:v>https://cluizel.us/pages/contact</x:v>
      </x:c>
      <x:c r="K27" s="14" t="str">
        <x:v>Contact form only</x:v>
      </x:c>
      <x:c r="L27" s="14" t="str">
        <x:v>Not publicly listed</x:v>
      </x:c>
      <x:c r="M27" s="14" t="str">
        <x:v>Not publicly listed</x:v>
      </x:c>
      <x:c r="N27" s="14" t="str">
        <x:v>Raw materials procurement / professional sales routing</x:v>
      </x:c>
      <x:c r="O27" s="14" t="str">
        <x:v>Premium chocolate, professional pastry products, bars, bonbons</x:v>
      </x:c>
      <x:c r="P27" s="14" t="str">
        <x:v>Vanilla for chocolate and professional pastry markets</x:v>
      </x:c>
      <x:c r="Q27" s="14" t="str">
        <x:v>Premium French chocolate maker; good for specialty origin positioning.</x:v>
      </x:c>
      <x:c r="R27" s="14" t="str">
        <x:v>Specialty</x:v>
      </x:c>
      <x:c r="S27" s="14" t="str">
        <x:v>Medium</x:v>
      </x:c>
      <x:c r="T27" s="14" t="str">
        <x:v>Send French/English outreach with EU testing and a chef-ready sample kit.</x:v>
      </x:c>
      <x:c r="U27" s="14" t="str">
        <x:v>100g beans + spec sheet + COA</x:v>
      </x:c>
      <x:c r="V27" s="14" t="str">
        <x:v>Official contact form + LinkedIn procurement outreach</x:v>
      </x:c>
      <x:c r="W27" s="14" t="str">
        <x:v>https://cluizel.us/pages/contact</x:v>
      </x:c>
      <x:c r="X27" s="14" t="str">
        <x:v>Use official contact route; verify details before sending samples.</x:v>
      </x:c>
      <x:c r="Y27" s="14" t="str">
        <x:v>Not Contacted</x:v>
      </x:c>
      <x:c r="Z27" s="14" t="str"/>
      <x:c r="AA27" s="22" t="str">
        <x:v>2026-07-10</x:v>
      </x:c>
    </x:row>
    <x:row r="28" ht="58" customHeight="1">
      <x:c r="A28" s="34" t="n">
        <x:v>27</x:v>
      </x:c>
      <x:c r="B28" s="35" t="str">
        <x:v>C</x:v>
      </x:c>
      <x:c r="C28" s="35" t="n">
        <x:v>69</x:v>
      </x:c>
      <x:c r="D28" s="35" t="str">
        <x:v>Bonnat Chocolatier</x:v>
      </x:c>
      <x:c r="E28" s="35" t="str">
        <x:v>Premium chocolate &amp; confectionery</x:v>
      </x:c>
      <x:c r="F28" s="35" t="str">
        <x:v>Family-owned</x:v>
      </x:c>
      <x:c r="G28" s="35" t="str">
        <x:v>Voiron, France</x:v>
      </x:c>
      <x:c r="H28" s="35" t="str">
        <x:v>Europe / specialty export</x:v>
      </x:c>
      <x:c r="I28" s="35" t="str">
        <x:v>https://www.bonnat-chocolatier.com</x:v>
      </x:c>
      <x:c r="J28" s="35" t="str">
        <x:v>https://www.bonnat-chocolatier.com/en/contact/</x:v>
      </x:c>
      <x:c r="K28" s="35" t="str">
        <x:v>Contact form only</x:v>
      </x:c>
      <x:c r="L28" s="35" t="str">
        <x:v>Not publicly listed</x:v>
      </x:c>
      <x:c r="M28" s="35" t="str">
        <x:v>Not publicly listed</x:v>
      </x:c>
      <x:c r="N28" s="35" t="str">
        <x:v>Procurement / production management</x:v>
      </x:c>
      <x:c r="O28" s="35" t="str">
        <x:v>Single-origin chocolate bars, pralines, fine chocolate</x:v>
      </x:c>
      <x:c r="P28" s="35" t="str">
        <x:v>Vanilla for specialty chocolate and confectionery recipes</x:v>
      </x:c>
      <x:c r="Q28" s="35" t="str">
        <x:v>Fine-flavor chocolate house; small but prestige-building target.</x:v>
      </x:c>
      <x:c r="R28" s="35" t="str">
        <x:v>Specialty</x:v>
      </x:c>
      <x:c r="S28" s="35" t="str">
        <x:v>Medium</x:v>
      </x:c>
      <x:c r="T28" s="35" t="str">
        <x:v>Pitch limited-lot vanilla with origin story and sensory notes in French/English.</x:v>
      </x:c>
      <x:c r="U28" s="35" t="str">
        <x:v>100g beans + spec sheet + COA</x:v>
      </x:c>
      <x:c r="V28" s="35" t="str">
        <x:v>Official contact form + LinkedIn procurement outreach</x:v>
      </x:c>
      <x:c r="W28" s="35" t="str">
        <x:v>https://www.bonnat-chocolatier.com/en/contact/</x:v>
      </x:c>
      <x:c r="X28" s="35" t="str">
        <x:v>Use official contact route; verify details before sending samples.</x:v>
      </x:c>
      <x:c r="Y28" s="35" t="str">
        <x:v>Not Contacted</x:v>
      </x:c>
      <x:c r="Z28" s="35" t="str"/>
      <x:c r="AA28" s="36" t="str">
        <x:v>2026-07-10</x:v>
      </x:c>
    </x:row>
    <x:row r="29" ht="58" customHeight="1">
      <x:c r="A29" s="21" t="n">
        <x:v>28</x:v>
      </x:c>
      <x:c r="B29" s="14" t="str">
        <x:v>B</x:v>
      </x:c>
      <x:c r="C29" s="14" t="n">
        <x:v>79</x:v>
      </x:c>
      <x:c r="D29" s="14" t="str">
        <x:v>La Maison du Chocolat</x:v>
      </x:c>
      <x:c r="E29" s="14" t="str">
        <x:v>Premium chocolate &amp; confectionery</x:v>
      </x:c>
      <x:c r="F29" s="14" t="str">
        <x:v>Groupe Savencia</x:v>
      </x:c>
      <x:c r="G29" s="14" t="str">
        <x:v>Nanterre / Paris, France</x:v>
      </x:c>
      <x:c r="H29" s="14" t="str">
        <x:v>Europe / USA / Japan</x:v>
      </x:c>
      <x:c r="I29" s="14" t="str">
        <x:v>https://www.lamaisonduchocolat.com</x:v>
      </x:c>
      <x:c r="J29" s="14" t="str">
        <x:v>https://www.lamaisonduchocolat.com/en/contact-us</x:v>
      </x:c>
      <x:c r="K29" s="14" t="str">
        <x:v>Contact form only</x:v>
      </x:c>
      <x:c r="L29" s="14" t="str">
        <x:v>Not publicly listed</x:v>
      </x:c>
      <x:c r="M29" s="14" t="str">
        <x:v>Not publicly listed</x:v>
      </x:c>
      <x:c r="N29" s="14" t="str">
        <x:v>Product development / procurement</x:v>
      </x:c>
      <x:c r="O29" s="14" t="str">
        <x:v>Luxury chocolates, ganaches, pralines, pastries</x:v>
      </x:c>
      <x:c r="P29" s="14" t="str">
        <x:v>Vanilla in ganaches, pralines, pastry and gift products</x:v>
      </x:c>
      <x:c r="Q29" s="14" t="str">
        <x:v>Luxury brand; smaller volume but strong prestige and product-development fit.</x:v>
      </x:c>
      <x:c r="R29" s="14" t="str">
        <x:v>Specialty</x:v>
      </x:c>
      <x:c r="S29" s="14" t="str">
        <x:v>Medium</x:v>
      </x:c>
      <x:c r="T29" s="14" t="str">
        <x:v>Send small high-end sample kit and a luxury ingredient story.</x:v>
      </x:c>
      <x:c r="U29" s="14" t="str">
        <x:v>100g beans + spec sheet + COA</x:v>
      </x:c>
      <x:c r="V29" s="14" t="str">
        <x:v>Official contact form + LinkedIn procurement outreach</x:v>
      </x:c>
      <x:c r="W29" s="14" t="str">
        <x:v>https://www.lamaisonduchocolat.com/en/contact-us</x:v>
      </x:c>
      <x:c r="X29" s="14" t="str">
        <x:v>Use official contact route; verify details before sending samples.</x:v>
      </x:c>
      <x:c r="Y29" s="14" t="str">
        <x:v>Not Contacted</x:v>
      </x:c>
      <x:c r="Z29" s="14" t="str"/>
      <x:c r="AA29" s="22" t="str">
        <x:v>2026-07-10</x:v>
      </x:c>
    </x:row>
    <x:row r="30" ht="58" customHeight="1">
      <x:c r="A30" s="34" t="n">
        <x:v>29</x:v>
      </x:c>
      <x:c r="B30" s="35" t="str">
        <x:v>B</x:v>
      </x:c>
      <x:c r="C30" s="35" t="n">
        <x:v>79</x:v>
      </x:c>
      <x:c r="D30" s="35" t="str">
        <x:v>Pierre Marcolini</x:v>
      </x:c>
      <x:c r="E30" s="35" t="str">
        <x:v>Premium chocolate &amp; confectionery</x:v>
      </x:c>
      <x:c r="F30" s="35" t="str">
        <x:v>Private</x:v>
      </x:c>
      <x:c r="G30" s="35" t="str">
        <x:v>Brussels, Belgium</x:v>
      </x:c>
      <x:c r="H30" s="35" t="str">
        <x:v>Europe / Japan / Middle East</x:v>
      </x:c>
      <x:c r="I30" s="35" t="str">
        <x:v>https://eu.marcolini.com</x:v>
      </x:c>
      <x:c r="J30" s="35" t="str">
        <x:v>https://eu.marcolini.com/en/contact</x:v>
      </x:c>
      <x:c r="K30" s="35" t="str">
        <x:v>Contact form only</x:v>
      </x:c>
      <x:c r="L30" s="35" t="str">
        <x:v>Not publicly listed</x:v>
      </x:c>
      <x:c r="M30" s="35" t="str">
        <x:v>Not publicly listed</x:v>
      </x:c>
      <x:c r="N30" s="35" t="str">
        <x:v>Sourcing / atelier production / product development</x:v>
      </x:c>
      <x:c r="O30" s="35" t="str">
        <x:v>Luxury chocolates, macarons, pralines, pastry</x:v>
      </x:c>
      <x:c r="P30" s="35" t="str">
        <x:v>Vanilla in ganache, pastry, white chocolate and seasonal collections</x:v>
      </x:c>
      <x:c r="Q30" s="35" t="str">
        <x:v>Premium chocolatier with global luxury presence and innovative flavor portfolio.</x:v>
      </x:c>
      <x:c r="R30" s="35" t="str">
        <x:v>Specialty</x:v>
      </x:c>
      <x:c r="S30" s="35" t="str">
        <x:v>Medium</x:v>
      </x:c>
      <x:c r="T30" s="35" t="str">
        <x:v>Pitch rare Ecuador vanilla for limited collection or pastry line.</x:v>
      </x:c>
      <x:c r="U30" s="35" t="str">
        <x:v>100g beans + spec sheet + COA</x:v>
      </x:c>
      <x:c r="V30" s="35" t="str">
        <x:v>Official contact form + LinkedIn procurement outreach</x:v>
      </x:c>
      <x:c r="W30" s="35" t="str">
        <x:v>https://eu.marcolini.com/en/contact</x:v>
      </x:c>
      <x:c r="X30" s="35" t="str">
        <x:v>Use official contact route; verify details before sending samples.</x:v>
      </x:c>
      <x:c r="Y30" s="35" t="str">
        <x:v>Not Contacted</x:v>
      </x:c>
      <x:c r="Z30" s="35" t="str"/>
      <x:c r="AA30" s="36" t="str">
        <x:v>2026-07-10</x:v>
      </x:c>
    </x:row>
    <x:row r="31" ht="58" customHeight="1">
      <x:c r="A31" s="21" t="n">
        <x:v>30</x:v>
      </x:c>
      <x:c r="B31" s="14" t="str">
        <x:v>B</x:v>
      </x:c>
      <x:c r="C31" s="14" t="n">
        <x:v>79</x:v>
      </x:c>
      <x:c r="D31" s="14" t="str">
        <x:v>Neuhaus</x:v>
      </x:c>
      <x:c r="E31" s="14" t="str">
        <x:v>Premium chocolate &amp; confectionery</x:v>
      </x:c>
      <x:c r="F31" s="14" t="str">
        <x:v>Private</x:v>
      </x:c>
      <x:c r="G31" s="14" t="str">
        <x:v>Brussels, Belgium</x:v>
      </x:c>
      <x:c r="H31" s="14" t="str">
        <x:v>Europe / global luxury retail</x:v>
      </x:c>
      <x:c r="I31" s="14" t="str">
        <x:v>https://www.neuhauschocolates.com</x:v>
      </x:c>
      <x:c r="J31" s="14" t="str">
        <x:v>https://www.neuhauschocolates.com/en_BE/contact-us</x:v>
      </x:c>
      <x:c r="K31" s="14" t="str">
        <x:v>Contact form only</x:v>
      </x:c>
      <x:c r="L31" s="14" t="str">
        <x:v>Not publicly listed</x:v>
      </x:c>
      <x:c r="M31" s="14" t="str">
        <x:v>Not publicly listed</x:v>
      </x:c>
      <x:c r="N31" s="14" t="str">
        <x:v>Procurement / praline R&amp;D</x:v>
      </x:c>
      <x:c r="O31" s="14" t="str">
        <x:v>Belgian pralines, truffles, luxury chocolate gifting</x:v>
      </x:c>
      <x:c r="P31" s="14" t="str">
        <x:v>Vanilla in praline, ganache and truffle centers</x:v>
      </x:c>
      <x:c r="Q31" s="14" t="str">
        <x:v>Premium Belgian praline manufacturer; medium volume potential.</x:v>
      </x:c>
      <x:c r="R31" s="14" t="str">
        <x:v>Medium</x:v>
      </x:c>
      <x:c r="S31" s="14" t="str">
        <x:v>Slow</x:v>
      </x:c>
      <x:c r="T31" s="14" t="str">
        <x:v>Route through HQ contact and LinkedIn procurement; pitch consistent long-term supply.</x:v>
      </x:c>
      <x:c r="U31" s="14" t="str">
        <x:v>100g beans + spec sheet + COA</x:v>
      </x:c>
      <x:c r="V31" s="14" t="str">
        <x:v>Official contact form + LinkedIn procurement outreach</x:v>
      </x:c>
      <x:c r="W31" s="14" t="str">
        <x:v>https://www.neuhauschocolates.com/en_BE/contact-us</x:v>
      </x:c>
      <x:c r="X31" s="14" t="str">
        <x:v>Use official contact route; verify details before sending samples.</x:v>
      </x:c>
      <x:c r="Y31" s="14" t="str">
        <x:v>Not Contacted</x:v>
      </x:c>
      <x:c r="Z31" s="14" t="str"/>
      <x:c r="AA31" s="22" t="str">
        <x:v>2026-07-10</x:v>
      </x:c>
    </x:row>
    <x:row r="32" ht="58" customHeight="1">
      <x:c r="A32" s="34" t="n">
        <x:v>31</x:v>
      </x:c>
      <x:c r="B32" s="35" t="str">
        <x:v>B</x:v>
      </x:c>
      <x:c r="C32" s="35" t="n">
        <x:v>79</x:v>
      </x:c>
      <x:c r="D32" s="35" t="str">
        <x:v>Läderach</x:v>
      </x:c>
      <x:c r="E32" s="35" t="str">
        <x:v>Premium chocolate &amp; confectionery</x:v>
      </x:c>
      <x:c r="F32" s="35" t="str">
        <x:v>Family-owned</x:v>
      </x:c>
      <x:c r="G32" s="35" t="str">
        <x:v>Ennenda, Switzerland</x:v>
      </x:c>
      <x:c r="H32" s="35" t="str">
        <x:v>Europe / USA / Middle East / Asia</x:v>
      </x:c>
      <x:c r="I32" s="35" t="str">
        <x:v>https://laderach.com</x:v>
      </x:c>
      <x:c r="J32" s="35" t="str">
        <x:v>https://laderach.com/us-en/contact</x:v>
      </x:c>
      <x:c r="K32" s="35" t="str">
        <x:v>Contact form only</x:v>
      </x:c>
      <x:c r="L32" s="35" t="str">
        <x:v>Not publicly listed</x:v>
      </x:c>
      <x:c r="M32" s="35" t="str">
        <x:v>Not publicly listed</x:v>
      </x:c>
      <x:c r="N32" s="35" t="str">
        <x:v>Raw material procurement / product innovation</x:v>
      </x:c>
      <x:c r="O32" s="35" t="str">
        <x:v>Luxury Swiss chocolate, pralines, FrischSchoggi, tablets</x:v>
      </x:c>
      <x:c r="P32" s="35" t="str">
        <x:v>Vanilla in chocolate, pralines, fillings and fresh chocolate concepts</x:v>
      </x:c>
      <x:c r="Q32" s="35" t="str">
        <x:v>Fast-growing premium Swiss chocolatier; strong quality standards.</x:v>
      </x:c>
      <x:c r="R32" s="35" t="str">
        <x:v>Medium</x:v>
      </x:c>
      <x:c r="S32" s="35" t="str">
        <x:v>Slow</x:v>
      </x:c>
      <x:c r="T32" s="35" t="str">
        <x:v>Lead with quality documentation and Swiss/EU import readiness.</x:v>
      </x:c>
      <x:c r="U32" s="35" t="str">
        <x:v>100g beans + spec sheet + COA</x:v>
      </x:c>
      <x:c r="V32" s="35" t="str">
        <x:v>Official contact form + LinkedIn procurement outreach</x:v>
      </x:c>
      <x:c r="W32" s="35" t="str">
        <x:v>https://laderach.com/us-en/contact</x:v>
      </x:c>
      <x:c r="X32" s="35" t="str">
        <x:v>Use official contact route; verify details before sending samples.</x:v>
      </x:c>
      <x:c r="Y32" s="35" t="str">
        <x:v>Not Contacted</x:v>
      </x:c>
      <x:c r="Z32" s="35" t="str"/>
      <x:c r="AA32" s="36" t="str">
        <x:v>2026-07-10</x:v>
      </x:c>
    </x:row>
    <x:row r="33" ht="58" customHeight="1">
      <x:c r="A33" s="21" t="n">
        <x:v>32</x:v>
      </x:c>
      <x:c r="B33" s="14" t="str">
        <x:v>A</x:v>
      </x:c>
      <x:c r="C33" s="14" t="n">
        <x:v>93</x:v>
      </x:c>
      <x:c r="D33" s="14" t="str">
        <x:v>Luker Chocolate</x:v>
      </x:c>
      <x:c r="E33" s="14" t="str">
        <x:v>Premium chocolate &amp; confectionery</x:v>
      </x:c>
      <x:c r="F33" s="14" t="str">
        <x:v>CasaLuker</x:v>
      </x:c>
      <x:c r="G33" s="14" t="str">
        <x:v>Bogotá, Colombia</x:v>
      </x:c>
      <x:c r="H33" s="14" t="str">
        <x:v>Latin America / global B2B</x:v>
      </x:c>
      <x:c r="I33" s="14" t="str">
        <x:v>https://lukerchocolate.com</x:v>
      </x:c>
      <x:c r="J33" s="14" t="str">
        <x:v>https://lukerchocolate.com/en/contact-us</x:v>
      </x:c>
      <x:c r="K33" s="14" t="str">
        <x:v>Contact form only</x:v>
      </x:c>
      <x:c r="L33" s="14" t="str">
        <x:v>Not publicly listed</x:v>
      </x:c>
      <x:c r="M33" s="14" t="str">
        <x:v>Not publicly listed</x:v>
      </x:c>
      <x:c r="N33" s="14" t="str">
        <x:v>Product development / sourcing / private label manufacturing</x:v>
      </x:c>
      <x:c r="O33" s="14" t="str">
        <x:v>Fine chocolate, couvertures, private label chocolate, B2B solutions</x:v>
      </x:c>
      <x:c r="P33" s="14" t="str">
        <x:v>Vanilla as an ingredient for chocolate, private label and bakery customers</x:v>
      </x:c>
      <x:c r="Q33" s="14" t="str">
        <x:v>Latin American premium chocolate manufacturer with B2B/private-label capability.</x:v>
      </x:c>
      <x:c r="R33" s="14" t="str">
        <x:v>Medium</x:v>
      </x:c>
      <x:c r="S33" s="14" t="str">
        <x:v>Medium</x:v>
      </x:c>
      <x:c r="T33" s="14" t="str">
        <x:v>Spanish/English outreach; propose Ecuador-Colombia premium flavor collaboration.</x:v>
      </x:c>
      <x:c r="U33" s="14" t="str">
        <x:v>100g beans + spec sheet + COA</x:v>
      </x:c>
      <x:c r="V33" s="14" t="str">
        <x:v>Official contact form + LinkedIn procurement outreach</x:v>
      </x:c>
      <x:c r="W33" s="14" t="str">
        <x:v>https://lukerchocolate.com/en/contact-us</x:v>
      </x:c>
      <x:c r="X33" s="14" t="str">
        <x:v>Use official contact route; verify details before sending samples.</x:v>
      </x:c>
      <x:c r="Y33" s="14" t="str">
        <x:v>Not Contacted</x:v>
      </x:c>
      <x:c r="Z33" s="14" t="str"/>
      <x:c r="AA33" s="22" t="str">
        <x:v>2026-07-10</x:v>
      </x:c>
    </x:row>
    <x:row r="34" ht="58" customHeight="1">
      <x:c r="A34" s="34" t="n">
        <x:v>33</x:v>
      </x:c>
      <x:c r="B34" s="35" t="str">
        <x:v>A</x:v>
      </x:c>
      <x:c r="C34" s="35" t="n">
        <x:v>92</x:v>
      </x:c>
      <x:c r="D34" s="35" t="str">
        <x:v>Pacari Chocolate</x:v>
      </x:c>
      <x:c r="E34" s="35" t="str">
        <x:v>Premium chocolate &amp; confectionery</x:v>
      </x:c>
      <x:c r="F34" s="35" t="str">
        <x:v>Private</x:v>
      </x:c>
      <x:c r="G34" s="35" t="str">
        <x:v>Quito, Ecuador</x:v>
      </x:c>
      <x:c r="H34" s="35" t="str">
        <x:v>Ecuador / USA / Europe / Asia</x:v>
      </x:c>
      <x:c r="I34" s="35" t="str">
        <x:v>https://www.pacari.com</x:v>
      </x:c>
      <x:c r="J34" s="35" t="str">
        <x:v>https://pacari-experience.com/contact</x:v>
      </x:c>
      <x:c r="K34" s="35" t="str">
        <x:v>Contact form only</x:v>
      </x:c>
      <x:c r="L34" s="35" t="str">
        <x:v>+593 2 380 9230 / +593 2 600 1004 ext. 130</x:v>
      </x:c>
      <x:c r="M34" s="35" t="str">
        <x:v>Not publicly listed</x:v>
      </x:c>
      <x:c r="N34" s="35" t="str">
        <x:v>Founder/product development / Ecuador sourcing</x:v>
      </x:c>
      <x:c r="O34" s="35" t="str">
        <x:v>Organic premium chocolate bars, snacks, cacao products</x:v>
      </x:c>
      <x:c r="P34" s="35" t="str">
        <x:v>Local Ecuador premium chocolate could use Ecuador vanilla for single-origin story</x:v>
      </x:c>
      <x:c r="Q34" s="35" t="str">
        <x:v>Local geography enables fast sampling; brand fit with Ecuador-origin premium ingredients.</x:v>
      </x:c>
      <x:c r="R34" s="35" t="str">
        <x:v>Specialty</x:v>
      </x:c>
      <x:c r="S34" s="35" t="str">
        <x:v>Fast</x:v>
      </x:c>
      <x:c r="T34" s="35" t="str">
        <x:v>Approach locally in Spanish; pitch co-branded Ecuador cacao + Ecuador vanilla story.</x:v>
      </x:c>
      <x:c r="U34" s="35" t="str">
        <x:v>25 pods + 100g beans + sensory card in Spanish</x:v>
      </x:c>
      <x:c r="V34" s="35" t="str">
        <x:v>Official contact form + LinkedIn procurement outreach</x:v>
      </x:c>
      <x:c r="W34" s="35" t="str">
        <x:v>https://pacari-experience.com/contact</x:v>
      </x:c>
      <x:c r="X34" s="35" t="str">
        <x:v>Public Ecuador contacts vary by site; verify before use.</x:v>
      </x:c>
      <x:c r="Y34" s="35" t="str">
        <x:v>Not Contacted</x:v>
      </x:c>
      <x:c r="Z34" s="35" t="str"/>
      <x:c r="AA34" s="36" t="str">
        <x:v>2026-07-10</x:v>
      </x:c>
    </x:row>
    <x:row r="35" ht="58" customHeight="1">
      <x:c r="A35" s="21" t="n">
        <x:v>34</x:v>
      </x:c>
      <x:c r="B35" s="14" t="str">
        <x:v>A</x:v>
      </x:c>
      <x:c r="C35" s="14" t="n">
        <x:v>92</x:v>
      </x:c>
      <x:c r="D35" s="14" t="str">
        <x:v>República del Cacao</x:v>
      </x:c>
      <x:c r="E35" s="14" t="str">
        <x:v>Premium chocolate &amp; confectionery</x:v>
      </x:c>
      <x:c r="F35" s="14" t="str">
        <x:v>Private / Ecuador brand</x:v>
      </x:c>
      <x:c r="G35" s="14" t="str">
        <x:v>Quito, Ecuador</x:v>
      </x:c>
      <x:c r="H35" s="14" t="str">
        <x:v>Latin America / Europe / professional</x:v>
      </x:c>
      <x:c r="I35" s="14" t="str">
        <x:v>https://republicadelcacao.com</x:v>
      </x:c>
      <x:c r="J35" s="14" t="str">
        <x:v>https://republicadelcacao.com/contact-us</x:v>
      </x:c>
      <x:c r="K35" s="14" t="str">
        <x:v>Contact form only</x:v>
      </x:c>
      <x:c r="L35" s="14" t="str">
        <x:v>Not publicly listed</x:v>
      </x:c>
      <x:c r="M35" s="14" t="str">
        <x:v>Not publicly listed</x:v>
      </x:c>
      <x:c r="N35" s="14" t="str">
        <x:v>Professional chocolate sourcing / product development</x:v>
      </x:c>
      <x:c r="O35" s="14" t="str">
        <x:v>Chocolate couvertures, bars, professional pastry chocolate</x:v>
      </x:c>
      <x:c r="P35" s="14" t="str">
        <x:v>Direct fit for Ecuador-origin vanilla in chocolate and pastry products</x:v>
      </x:c>
      <x:c r="Q35" s="14" t="str">
        <x:v>Local premium chocolate platform; possible fastest route to commercial proof in Ecuador.</x:v>
      </x:c>
      <x:c r="R35" s="14" t="str">
        <x:v>Specialty</x:v>
      </x:c>
      <x:c r="S35" s="14" t="str">
        <x:v>Fast</x:v>
      </x:c>
      <x:c r="T35" s="14" t="str">
        <x:v>Offer immediate local sample meeting and chef/product trial.</x:v>
      </x:c>
      <x:c r="U35" s="14" t="str">
        <x:v>25 pods + 250g beans + local delivery sample</x:v>
      </x:c>
      <x:c r="V35" s="14" t="str">
        <x:v>Official contact form + LinkedIn procurement outreach</x:v>
      </x:c>
      <x:c r="W35" s="14" t="str">
        <x:v>https://republicadelcacao.com/contact-us</x:v>
      </x:c>
      <x:c r="X35" s="14" t="str">
        <x:v>Use official contact route; verify details before sending samples.</x:v>
      </x:c>
      <x:c r="Y35" s="14" t="str">
        <x:v>Not Contacted</x:v>
      </x:c>
      <x:c r="Z35" s="14" t="str"/>
      <x:c r="AA35" s="22" t="str">
        <x:v>2026-07-10</x:v>
      </x:c>
    </x:row>
    <x:row r="36" ht="58" customHeight="1">
      <x:c r="A36" s="34" t="n">
        <x:v>35</x:v>
      </x:c>
      <x:c r="B36" s="35" t="str">
        <x:v>B</x:v>
      </x:c>
      <x:c r="C36" s="35" t="n">
        <x:v>79</x:v>
      </x:c>
      <x:c r="D36" s="35" t="str">
        <x:v>Chocolates El Rey</x:v>
      </x:c>
      <x:c r="E36" s="35" t="str">
        <x:v>Premium chocolate &amp; confectionery</x:v>
      </x:c>
      <x:c r="F36" s="35" t="str">
        <x:v>Private</x:v>
      </x:c>
      <x:c r="G36" s="35" t="str">
        <x:v>Barquisimeto / Caracas, Venezuela</x:v>
      </x:c>
      <x:c r="H36" s="35" t="str">
        <x:v>Latin America / USA / Europe</x:v>
      </x:c>
      <x:c r="I36" s="35" t="str">
        <x:v>https://chocolateselrey.com</x:v>
      </x:c>
      <x:c r="J36" s="35" t="str">
        <x:v>https://chocolateselrey.com/contacto</x:v>
      </x:c>
      <x:c r="K36" s="35" t="str">
        <x:v>Contact form only</x:v>
      </x:c>
      <x:c r="L36" s="35" t="str">
        <x:v>Not publicly listed</x:v>
      </x:c>
      <x:c r="M36" s="35" t="str">
        <x:v>Not publicly listed</x:v>
      </x:c>
      <x:c r="N36" s="35" t="str">
        <x:v>Raw material procurement / R&amp;D</x:v>
      </x:c>
      <x:c r="O36" s="35" t="str">
        <x:v>Fine chocolate, couvertures, cocoa products</x:v>
      </x:c>
      <x:c r="P36" s="35" t="str">
        <x:v>Vanilla for chocolate and professional pastry formats</x:v>
      </x:c>
      <x:c r="Q36" s="35" t="str">
        <x:v>Latin American fine-flavor chocolate manufacturer; may value Ecuador origin.</x:v>
      </x:c>
      <x:c r="R36" s="35" t="str">
        <x:v>Specialty</x:v>
      </x:c>
      <x:c r="S36" s="35" t="str">
        <x:v>Medium</x:v>
      </x:c>
      <x:c r="T36" s="35" t="str">
        <x:v>Spanish outreach with regional origin story and small trial pricing.</x:v>
      </x:c>
      <x:c r="U36" s="35" t="str">
        <x:v>100g beans + spec sheet + COA</x:v>
      </x:c>
      <x:c r="V36" s="35" t="str">
        <x:v>Official contact form + LinkedIn procurement outreach</x:v>
      </x:c>
      <x:c r="W36" s="35" t="str">
        <x:v>https://chocolateselrey.com/contacto</x:v>
      </x:c>
      <x:c r="X36" s="35" t="str">
        <x:v>Use official contact route; verify details before sending samples.</x:v>
      </x:c>
      <x:c r="Y36" s="35" t="str">
        <x:v>Not Contacted</x:v>
      </x:c>
      <x:c r="Z36" s="35" t="str"/>
      <x:c r="AA36" s="36" t="str">
        <x:v>2026-07-10</x:v>
      </x:c>
    </x:row>
    <x:row r="37" ht="58" customHeight="1">
      <x:c r="A37" s="21" t="n">
        <x:v>36</x:v>
      </x:c>
      <x:c r="B37" s="14" t="str">
        <x:v>B</x:v>
      </x:c>
      <x:c r="C37" s="14" t="n">
        <x:v>84</x:v>
      </x:c>
      <x:c r="D37" s="14" t="str">
        <x:v>The Magnum Ice Cream Company</x:v>
      </x:c>
      <x:c r="E37" s="14" t="str">
        <x:v>Premium ice cream, dairy &amp; frozen desserts</x:v>
      </x:c>
      <x:c r="F37" s="14" t="str">
        <x:v>Public standalone company</x:v>
      </x:c>
      <x:c r="G37" s="14" t="str">
        <x:v>Amsterdam, Netherlands</x:v>
      </x:c>
      <x:c r="H37" s="14" t="str">
        <x:v>Global</x:v>
      </x:c>
      <x:c r="I37" s="14" t="str">
        <x:v>https://corporate.magnumicecream.com</x:v>
      </x:c>
      <x:c r="J37" s="14" t="str">
        <x:v>https://corporate.magnumicecream.com/en/suppliers.html</x:v>
      </x:c>
      <x:c r="K37" s="14" t="str">
        <x:v>Supplier helpdesk / contact form only</x:v>
      </x:c>
      <x:c r="L37" s="14" t="str">
        <x:v>Not publicly listed</x:v>
      </x:c>
      <x:c r="M37" s="14" t="str">
        <x:v>Sandeep Desai, Chief Supply Chain and Operations Officer</x:v>
      </x:c>
      <x:c r="N37" s="14" t="str">
        <x:v>Global ice cream procurement / vanilla category buyer</x:v>
      </x:c>
      <x:c r="O37" s="14" t="str">
        <x:v>Magnum, Ben &amp; Jerry's, Talenti, Cornetto, Wall's and other ice cream brands</x:v>
      </x:c>
      <x:c r="P37" s="14" t="str">
        <x:v>Very high: vanilla is core to premium ice cream and novelty products</x:v>
      </x:c>
      <x:c r="Q37" s="14" t="str">
        <x:v>Major global ice cream platform after separation from Unilever; huge but formal procurement.</x:v>
      </x:c>
      <x:c r="R37" s="14" t="str">
        <x:v>Strategic/Large</x:v>
      </x:c>
      <x:c r="S37" s="14" t="str">
        <x:v>Slow</x:v>
      </x:c>
      <x:c r="T37" s="14" t="str">
        <x:v>Use official supplier page and parallel LinkedIn approach to vanilla/category procurement.</x:v>
      </x:c>
      <x:c r="U37" s="14" t="str">
        <x:v>Supplier packet first; 500g technical sample after buyer request</x:v>
      </x:c>
      <x:c r="V37" s="14" t="str">
        <x:v>Official supplier page + targeted procurement outreach</x:v>
      </x:c>
      <x:c r="W37" s="14" t="str">
        <x:v>https://corporate.magnumicecream.com/en/suppliers.html</x:v>
      </x:c>
      <x:c r="X37" s="14" t="str">
        <x:v>Official suppliers page says to contact supplier helpdesk/general enquiry; standalone company context verified publicly.</x:v>
      </x:c>
      <x:c r="Y37" s="14" t="str">
        <x:v>Not Contacted</x:v>
      </x:c>
      <x:c r="Z37" s="14" t="str"/>
      <x:c r="AA37" s="22" t="str">
        <x:v>2026-07-10</x:v>
      </x:c>
    </x:row>
    <x:row r="38" ht="58" customHeight="1">
      <x:c r="A38" s="34" t="n">
        <x:v>37</x:v>
      </x:c>
      <x:c r="B38" s="35" t="str">
        <x:v>B</x:v>
      </x:c>
      <x:c r="C38" s="35" t="n">
        <x:v>84</x:v>
      </x:c>
      <x:c r="D38" s="35" t="str">
        <x:v>General Mills – Häagen-Dazs North America</x:v>
      </x:c>
      <x:c r="E38" s="35" t="str">
        <x:v>Premium ice cream, dairy &amp; frozen desserts</x:v>
      </x:c>
      <x:c r="F38" s="35" t="str">
        <x:v>General Mills</x:v>
      </x:c>
      <x:c r="G38" s="35" t="str">
        <x:v>Minneapolis, Minnesota, USA</x:v>
      </x:c>
      <x:c r="H38" s="35" t="str">
        <x:v>North America / global brand licensing</x:v>
      </x:c>
      <x:c r="I38" s="35" t="str">
        <x:v>https://www.generalmills.com</x:v>
      </x:c>
      <x:c r="J38" s="35" t="str">
        <x:v>https://www.generalmills.com/about-us/work-with-us/suppliers</x:v>
      </x:c>
      <x:c r="K38" s="35" t="str">
        <x:v>Supplier registration route only</x:v>
      </x:c>
      <x:c r="L38" s="35" t="str">
        <x:v>Not publicly listed</x:v>
      </x:c>
      <x:c r="M38" s="35" t="str">
        <x:v>Not publicly listed</x:v>
      </x:c>
      <x:c r="N38" s="35" t="str">
        <x:v>General Mills ingredient sourcing / vanilla category</x:v>
      </x:c>
      <x:c r="O38" s="35" t="str">
        <x:v>Häagen-Dazs ice cream, premium frozen desserts, baking and food brands</x:v>
      </x:c>
      <x:c r="P38" s="35" t="str">
        <x:v>Very high: vanilla is a flagship flavor and quality marker in premium ice cream</x:v>
      </x:c>
      <x:c r="Q38" s="35" t="str">
        <x:v>Large buyer with known supplier processes; volume potential significant.</x:v>
      </x:c>
      <x:c r="R38" s="35" t="str">
        <x:v>Strategic/Large</x:v>
      </x:c>
      <x:c r="S38" s="35" t="str">
        <x:v>Slow</x:v>
      </x:c>
      <x:c r="T38" s="35" t="str">
        <x:v>Submit prospective supplier profile; lead with premium-grade vanilla availability and QC package.</x:v>
      </x:c>
      <x:c r="U38" s="35" t="str">
        <x:v>Prospective supplier packet first; lab sample after qualification</x:v>
      </x:c>
      <x:c r="V38" s="35" t="str">
        <x:v>General Mills supplier portal/form</x:v>
      </x:c>
      <x:c r="W38" s="35" t="str">
        <x:v>https://www.generalmills.com/about-us/work-with-us/suppliers</x:v>
      </x:c>
      <x:c r="X38" s="35" t="str">
        <x:v>Official supplier page/prospective supplier materials available; slow qualification expected.</x:v>
      </x:c>
      <x:c r="Y38" s="35" t="str">
        <x:v>Not Contacted</x:v>
      </x:c>
      <x:c r="Z38" s="35" t="str"/>
      <x:c r="AA38" s="36" t="str">
        <x:v>2026-07-10</x:v>
      </x:c>
    </x:row>
    <x:row r="39" ht="58" customHeight="1">
      <x:c r="A39" s="21" t="n">
        <x:v>38</x:v>
      </x:c>
      <x:c r="B39" s="14" t="str">
        <x:v>B</x:v>
      </x:c>
      <x:c r="C39" s="14" t="n">
        <x:v>84</x:v>
      </x:c>
      <x:c r="D39" s="14" t="str">
        <x:v>Froneri</x:v>
      </x:c>
      <x:c r="E39" s="14" t="str">
        <x:v>Premium ice cream, dairy &amp; frozen desserts</x:v>
      </x:c>
      <x:c r="F39" s="14" t="str">
        <x:v>Nestlé / PAI Partners JV</x:v>
      </x:c>
      <x:c r="G39" s="14" t="str">
        <x:v>Northallerton, United Kingdom</x:v>
      </x:c>
      <x:c r="H39" s="14" t="str">
        <x:v>Europe / global</x:v>
      </x:c>
      <x:c r="I39" s="14" t="str">
        <x:v>https://www.froneri.com</x:v>
      </x:c>
      <x:c r="J39" s="14" t="str">
        <x:v>https://www.froneri.com/contact-us/</x:v>
      </x:c>
      <x:c r="K39" s="14" t="str">
        <x:v>Contact form only</x:v>
      </x:c>
      <x:c r="L39" s="14" t="str">
        <x:v>Not publicly listed</x:v>
      </x:c>
      <x:c r="M39" s="14" t="str">
        <x:v>Not publicly listed</x:v>
      </x:c>
      <x:c r="N39" s="14" t="str">
        <x:v>Global procurement / ice cream ingredient sourcing</x:v>
      </x:c>
      <x:c r="O39" s="14" t="str">
        <x:v>Ice cream brands and private label; includes Nestlé ice cream licenses in many markets</x:v>
      </x:c>
      <x:c r="P39" s="14" t="str">
        <x:v>Very high: vanilla input for ice cream tubs, cones, sticks and novelties</x:v>
      </x:c>
      <x:c r="Q39" s="14" t="str">
        <x:v>Large ice cream manufacturer with significant volume needs and private-label capability.</x:v>
      </x:c>
      <x:c r="R39" s="14" t="str">
        <x:v>Strategic/Large</x:v>
      </x:c>
      <x:c r="S39" s="14" t="str">
        <x:v>Slow</x:v>
      </x:c>
      <x:c r="T39" s="14" t="str">
        <x:v>Ask for vanilla/natural flavor procurement contact; present scalable supply and import readiness.</x:v>
      </x:c>
      <x:c r="U39" s="14" t="str">
        <x:v>100g beans + spec sheet + COA</x:v>
      </x:c>
      <x:c r="V39" s="14" t="str">
        <x:v>Official contact form + LinkedIn procurement outreach</x:v>
      </x:c>
      <x:c r="W39" s="14" t="str">
        <x:v>https://www.froneri.com/contact-us/</x:v>
      </x:c>
      <x:c r="X39" s="14" t="str">
        <x:v>Use official contact route; verify details before sending samples.</x:v>
      </x:c>
      <x:c r="Y39" s="14" t="str">
        <x:v>Not Contacted</x:v>
      </x:c>
      <x:c r="Z39" s="14" t="str"/>
      <x:c r="AA39" s="22" t="str">
        <x:v>2026-07-10</x:v>
      </x:c>
    </x:row>
    <x:row r="40" ht="58" customHeight="1">
      <x:c r="A40" s="34" t="n">
        <x:v>39</x:v>
      </x:c>
      <x:c r="B40" s="35" t="str">
        <x:v>A</x:v>
      </x:c>
      <x:c r="C40" s="35" t="n">
        <x:v>95</x:v>
      </x:c>
      <x:c r="D40" s="35" t="str">
        <x:v>Jeni's Splendid Ice Creams</x:v>
      </x:c>
      <x:c r="E40" s="35" t="str">
        <x:v>Premium ice cream, dairy &amp; frozen desserts</x:v>
      </x:c>
      <x:c r="F40" s="35" t="str">
        <x:v>Private</x:v>
      </x:c>
      <x:c r="G40" s="35" t="str">
        <x:v>Columbus, Ohio, USA</x:v>
      </x:c>
      <x:c r="H40" s="35" t="str">
        <x:v>USA / ecommerce</x:v>
      </x:c>
      <x:c r="I40" s="35" t="str">
        <x:v>https://jenis.com</x:v>
      </x:c>
      <x:c r="J40" s="35" t="str">
        <x:v>https://jenis.com/pages/contact-us</x:v>
      </x:c>
      <x:c r="K40" s="35" t="str">
        <x:v>contact@jenis.com</x:v>
      </x:c>
      <x:c r="L40" s="35" t="str">
        <x:v>+1 614 488 3224</x:v>
      </x:c>
      <x:c r="M40" s="35" t="str">
        <x:v>Not publicly listed</x:v>
      </x:c>
      <x:c r="N40" s="35" t="str">
        <x:v>Ingredient sourcing / product development</x:v>
      </x:c>
      <x:c r="O40" s="35" t="str">
        <x:v>Super-premium ice cream, dairy-free frozen desserts, seasonal flavors</x:v>
      </x:c>
      <x:c r="P40" s="35" t="str">
        <x:v>Very high: vanilla appears in base flavors and premium flavor systems</x:v>
      </x:c>
      <x:c r="Q40" s="35" t="str">
        <x:v>Premium brand with strong ingredient storytelling; more accessible than multinationals.</x:v>
      </x:c>
      <x:c r="R40" s="35" t="str">
        <x:v>Medium</x:v>
      </x:c>
      <x:c r="S40" s="35" t="str">
        <x:v>Fast</x:v>
      </x:c>
      <x:c r="T40" s="35" t="str">
        <x:v>Pitch a limited Ecuador vanilla flavor or supply for Sweet Cream/Brown Butter-style applications.</x:v>
      </x:c>
      <x:c r="U40" s="35" t="str">
        <x:v>100g beans + 250g extract if available + sensory notes + 25kg trial price</x:v>
      </x:c>
      <x:c r="V40" s="35" t="str">
        <x:v>Official contact form + LinkedIn procurement outreach</x:v>
      </x:c>
      <x:c r="W40" s="35" t="str">
        <x:v>https://jenis.com/pages/contact-us</x:v>
      </x:c>
      <x:c r="X40" s="35" t="str">
        <x:v>Official contact page lists contact email and phone; procurement-specific email not listed.</x:v>
      </x:c>
      <x:c r="Y40" s="35" t="str">
        <x:v>Not Contacted</x:v>
      </x:c>
      <x:c r="Z40" s="35" t="str"/>
      <x:c r="AA40" s="36" t="str">
        <x:v>2026-07-10</x:v>
      </x:c>
    </x:row>
    <x:row r="41" ht="58" customHeight="1">
      <x:c r="A41" s="21" t="n">
        <x:v>40</x:v>
      </x:c>
      <x:c r="B41" s="14" t="str">
        <x:v>A</x:v>
      </x:c>
      <x:c r="C41" s="14" t="n">
        <x:v>95</x:v>
      </x:c>
      <x:c r="D41" s="14" t="str">
        <x:v>Van Leeuwen Ice Cream</x:v>
      </x:c>
      <x:c r="E41" s="14" t="str">
        <x:v>Premium ice cream, dairy &amp; frozen desserts</x:v>
      </x:c>
      <x:c r="F41" s="14" t="str">
        <x:v>Private</x:v>
      </x:c>
      <x:c r="G41" s="14" t="str">
        <x:v>Brooklyn, New York, USA</x:v>
      </x:c>
      <x:c r="H41" s="14" t="str">
        <x:v>USA / retail / ecommerce</x:v>
      </x:c>
      <x:c r="I41" s="14" t="str">
        <x:v>https://vanleeuwenicecream.com</x:v>
      </x:c>
      <x:c r="J41" s="14" t="str">
        <x:v>https://vanleeuwenicecream.com/contact/</x:v>
      </x:c>
      <x:c r="K41" s="14" t="str">
        <x:v>wholesale@vanleeuwenicecream.com / hello@vanleeuwenicecream.com</x:v>
      </x:c>
      <x:c r="L41" s="14" t="str">
        <x:v>Not publicly listed</x:v>
      </x:c>
      <x:c r="M41" s="14" t="str">
        <x:v>Not publicly listed</x:v>
      </x:c>
      <x:c r="N41" s="14" t="str">
        <x:v>Product development / ingredient sourcing</x:v>
      </x:c>
      <x:c r="O41" s="14" t="str">
        <x:v>French-style ice cream, vegan ice cream, pints and scoop shops</x:v>
      </x:c>
      <x:c r="P41" s="14" t="str">
        <x:v>Very high: premium vanilla identity and clean-label positioning</x:v>
      </x:c>
      <x:c r="Q41" s="14" t="str">
        <x:v>Fast-growing premium manufacturer; likely cares about high-quality visible-origin ingredients.</x:v>
      </x:c>
      <x:c r="R41" s="14" t="str">
        <x:v>Medium</x:v>
      </x:c>
      <x:c r="S41" s="14" t="str">
        <x:v>Fast</x:v>
      </x:c>
      <x:c r="T41" s="14" t="str">
        <x:v>Pitch a fast 25kg trial and product-development sample for a new vanilla expression.</x:v>
      </x:c>
      <x:c r="U41" s="14" t="str">
        <x:v>100g beans + 250g extract + micro/spec testing</x:v>
      </x:c>
      <x:c r="V41" s="14" t="str">
        <x:v>Official contact form + LinkedIn procurement outreach</x:v>
      </x:c>
      <x:c r="W41" s="14" t="str">
        <x:v>https://vanleeuwenicecream.com/say-hello/</x:v>
      </x:c>
      <x:c r="X41" s="14" t="str">
        <x:v>Official 'Say Hello' page lists wholesale, shipping, international and general emails.</x:v>
      </x:c>
      <x:c r="Y41" s="14" t="str">
        <x:v>Not Contacted</x:v>
      </x:c>
      <x:c r="Z41" s="14" t="str"/>
      <x:c r="AA41" s="22" t="str">
        <x:v>2026-07-10</x:v>
      </x:c>
    </x:row>
    <x:row r="42" ht="58" customHeight="1">
      <x:c r="A42" s="34" t="n">
        <x:v>41</x:v>
      </x:c>
      <x:c r="B42" s="35" t="str">
        <x:v>A</x:v>
      </x:c>
      <x:c r="C42" s="35" t="n">
        <x:v>92</x:v>
      </x:c>
      <x:c r="D42" s="35" t="str">
        <x:v>Salt &amp; Straw</x:v>
      </x:c>
      <x:c r="E42" s="35" t="str">
        <x:v>Premium ice cream, dairy &amp; frozen desserts</x:v>
      </x:c>
      <x:c r="F42" s="35" t="str">
        <x:v>Private</x:v>
      </x:c>
      <x:c r="G42" s="35" t="str">
        <x:v>Portland, Oregon, USA</x:v>
      </x:c>
      <x:c r="H42" s="35" t="str">
        <x:v>USA</x:v>
      </x:c>
      <x:c r="I42" s="35" t="str">
        <x:v>https://saltandstraw.com</x:v>
      </x:c>
      <x:c r="J42" s="35" t="str">
        <x:v>https://saltandstraw.com/pages/contact</x:v>
      </x:c>
      <x:c r="K42" s="35" t="str">
        <x:v>wholesale@saltandstraw.com / hello@saltandstraw.com</x:v>
      </x:c>
      <x:c r="L42" s="35" t="str">
        <x:v>+1 503 206 8071</x:v>
      </x:c>
      <x:c r="M42" s="35" t="str">
        <x:v>Not publicly listed</x:v>
      </x:c>
      <x:c r="N42" s="35" t="str">
        <x:v>Culinary innovation / ingredient sourcing</x:v>
      </x:c>
      <x:c r="O42" s="35" t="str">
        <x:v>Premium ice cream, limited-edition flavors, scoop shops and pints</x:v>
      </x:c>
      <x:c r="P42" s="35" t="str">
        <x:v>High: seasonal and story-driven ice cream flavors can showcase unique vanilla</x:v>
      </x:c>
      <x:c r="Q42" s="35" t="str">
        <x:v>Innovative flavor house brand; could buy smaller, high-margin lots quickly.</x:v>
      </x:c>
      <x:c r="R42" s="35" t="str">
        <x:v>Specialty</x:v>
      </x:c>
      <x:c r="S42" s="35" t="str">
        <x:v>Fast</x:v>
      </x:c>
      <x:c r="T42" s="35" t="str">
        <x:v>Pitch Ecuador vanilla as a limited-edition flavor story with 5–25kg pilot.</x:v>
      </x:c>
      <x:c r="U42" s="35" t="str">
        <x:v>50g beans + story card + chef application notes</x:v>
      </x:c>
      <x:c r="V42" s="35" t="str">
        <x:v>Official contact form + LinkedIn procurement outreach</x:v>
      </x:c>
      <x:c r="W42" s="35" t="str">
        <x:v>https://saltandstraw.com/pages/faq</x:v>
      </x:c>
      <x:c r="X42" s="35" t="str">
        <x:v>Official FAQ lists wholesale/general emails; accessibility page lists public phone.</x:v>
      </x:c>
      <x:c r="Y42" s="35" t="str">
        <x:v>Not Contacted</x:v>
      </x:c>
      <x:c r="Z42" s="35" t="str"/>
      <x:c r="AA42" s="36" t="str">
        <x:v>2026-07-10</x:v>
      </x:c>
    </x:row>
    <x:row r="43" ht="58" customHeight="1">
      <x:c r="A43" s="21" t="n">
        <x:v>42</x:v>
      </x:c>
      <x:c r="B43" s="14" t="str">
        <x:v>A</x:v>
      </x:c>
      <x:c r="C43" s="14" t="n">
        <x:v>96</x:v>
      </x:c>
      <x:c r="D43" s="14" t="str">
        <x:v>Tillamook County Creamery Association</x:v>
      </x:c>
      <x:c r="E43" s="14" t="str">
        <x:v>Premium ice cream, dairy &amp; frozen desserts</x:v>
      </x:c>
      <x:c r="F43" s="14" t="str">
        <x:v>Farmer-owned cooperative</x:v>
      </x:c>
      <x:c r="G43" s="14" t="str">
        <x:v>Tillamook, Oregon, USA</x:v>
      </x:c>
      <x:c r="H43" s="14" t="str">
        <x:v>USA</x:v>
      </x:c>
      <x:c r="I43" s="14" t="str">
        <x:v>https://www.tillamook.com</x:v>
      </x:c>
      <x:c r="J43" s="14" t="str">
        <x:v>https://www.tillamook.com/contact</x:v>
      </x:c>
      <x:c r="K43" s="14" t="str">
        <x:v>Contact form only</x:v>
      </x:c>
      <x:c r="L43" s="14" t="str">
        <x:v>Contact form only</x:v>
      </x:c>
      <x:c r="M43" s="14" t="str">
        <x:v>Not publicly listed</x:v>
      </x:c>
      <x:c r="N43" s="14" t="str">
        <x:v>Ingredient sourcing / ice cream procurement</x:v>
      </x:c>
      <x:c r="O43" s="14" t="str">
        <x:v>Ice cream, cheese, yogurt, butter and dairy products</x:v>
      </x:c>
      <x:c r="P43" s="14" t="str">
        <x:v>Very high: vanilla ice cream and dairy desserts need consistent vanilla profile</x:v>
      </x:c>
      <x:c r="Q43" s="14" t="str">
        <x:v>Premium dairy co-op with large manufacturing footprint and quality positioning.</x:v>
      </x:c>
      <x:c r="R43" s="14" t="str">
        <x:v>Large</x:v>
      </x:c>
      <x:c r="S43" s="14" t="str">
        <x:v>Medium</x:v>
      </x:c>
      <x:c r="T43" s="14" t="str">
        <x:v>Use business inquiry routing; ask specifically for ice cream ingredient procurement.</x:v>
      </x:c>
      <x:c r="U43" s="14" t="str">
        <x:v>100g beans + spec sheet + COA</x:v>
      </x:c>
      <x:c r="V43" s="14" t="str">
        <x:v>Official contact form + LinkedIn procurement outreach</x:v>
      </x:c>
      <x:c r="W43" s="14" t="str">
        <x:v>https://www.tillamook.com/contact</x:v>
      </x:c>
      <x:c r="X43" s="14" t="str">
        <x:v>Official contact route says business inquiries are routed internally; direct procurement email not listed.</x:v>
      </x:c>
      <x:c r="Y43" s="14" t="str">
        <x:v>Not Contacted</x:v>
      </x:c>
      <x:c r="Z43" s="14" t="str"/>
      <x:c r="AA43" s="22" t="str">
        <x:v>2026-07-10</x:v>
      </x:c>
    </x:row>
    <x:row r="44" ht="58" customHeight="1">
      <x:c r="A44" s="34" t="n">
        <x:v>43</x:v>
      </x:c>
      <x:c r="B44" s="35" t="str">
        <x:v>A</x:v>
      </x:c>
      <x:c r="C44" s="35" t="n">
        <x:v>92</x:v>
      </x:c>
      <x:c r="D44" s="35" t="str">
        <x:v>McConnell's Fine Ice Creams</x:v>
      </x:c>
      <x:c r="E44" s="35" t="str">
        <x:v>Premium ice cream, dairy &amp; frozen desserts</x:v>
      </x:c>
      <x:c r="F44" s="35" t="str">
        <x:v>Private</x:v>
      </x:c>
      <x:c r="G44" s="35" t="str">
        <x:v>Santa Barbara, California, USA</x:v>
      </x:c>
      <x:c r="H44" s="35" t="str">
        <x:v>USA</x:v>
      </x:c>
      <x:c r="I44" s="35" t="str">
        <x:v>https://mcconnells.com</x:v>
      </x:c>
      <x:c r="J44" s="35" t="str">
        <x:v>https://mcconnells.com/pages/contact-us</x:v>
      </x:c>
      <x:c r="K44" s="35" t="str">
        <x:v>wholesale@mcconnells.com / info@mcconnells.com</x:v>
      </x:c>
      <x:c r="L44" s="35" t="str">
        <x:v>+1 805 963 8813 / +1 805 974 8705</x:v>
      </x:c>
      <x:c r="M44" s="35" t="str">
        <x:v>Not publicly listed</x:v>
      </x:c>
      <x:c r="N44" s="35" t="str">
        <x:v>Ingredient sourcing / production</x:v>
      </x:c>
      <x:c r="O44" s="35" t="str">
        <x:v>Super-premium ice cream, pints, scoop shops</x:v>
      </x:c>
      <x:c r="P44" s="35" t="str">
        <x:v>High: vanilla is core premium ice cream ingredient</x:v>
      </x:c>
      <x:c r="Q44" s="35" t="str">
        <x:v>Premium regional brand with ingredient-driven positioning.</x:v>
      </x:c>
      <x:c r="R44" s="35" t="str">
        <x:v>Specialty</x:v>
      </x:c>
      <x:c r="S44" s="35" t="str">
        <x:v>Fast</x:v>
      </x:c>
      <x:c r="T44" s="35" t="str">
        <x:v>Offer small trial lot and sensory comparison against Madagascar/Tahitian profiles.</x:v>
      </x:c>
      <x:c r="U44" s="35" t="str">
        <x:v>100g beans + spec sheet + COA</x:v>
      </x:c>
      <x:c r="V44" s="35" t="str">
        <x:v>Official contact form + LinkedIn procurement outreach</x:v>
      </x:c>
      <x:c r="W44" s="35" t="str">
        <x:v>https://mcconnells.com/pages/contact-us</x:v>
      </x:c>
      <x:c r="X44" s="35" t="str">
        <x:v>Official contact page lists customer service, wholesale email and phone numbers.</x:v>
      </x:c>
      <x:c r="Y44" s="35" t="str">
        <x:v>Not Contacted</x:v>
      </x:c>
      <x:c r="Z44" s="35" t="str"/>
      <x:c r="AA44" s="36" t="str">
        <x:v>2026-07-10</x:v>
      </x:c>
    </x:row>
    <x:row r="45" ht="58" customHeight="1">
      <x:c r="A45" s="21" t="n">
        <x:v>44</x:v>
      </x:c>
      <x:c r="B45" s="14" t="str">
        <x:v>A</x:v>
      </x:c>
      <x:c r="C45" s="14" t="n">
        <x:v>93</x:v>
      </x:c>
      <x:c r="D45" s="14" t="str">
        <x:v>Graeter's Ice Cream</x:v>
      </x:c>
      <x:c r="E45" s="14" t="str">
        <x:v>Premium ice cream, dairy &amp; frozen desserts</x:v>
      </x:c>
      <x:c r="F45" s="14" t="str">
        <x:v>Family-owned</x:v>
      </x:c>
      <x:c r="G45" s="14" t="str">
        <x:v>Cincinnati, Ohio, USA</x:v>
      </x:c>
      <x:c r="H45" s="14" t="str">
        <x:v>USA</x:v>
      </x:c>
      <x:c r="I45" s="14" t="str">
        <x:v>https://www.graeters.com</x:v>
      </x:c>
      <x:c r="J45" s="14" t="str">
        <x:v>https://www.graeters.com/contact</x:v>
      </x:c>
      <x:c r="K45" s="14" t="str">
        <x:v>Contact form only</x:v>
      </x:c>
      <x:c r="L45" s="14" t="str">
        <x:v>Not publicly listed</x:v>
      </x:c>
      <x:c r="M45" s="14" t="str">
        <x:v>Not publicly listed</x:v>
      </x:c>
      <x:c r="N45" s="14" t="str">
        <x:v>Production / ingredient sourcing</x:v>
      </x:c>
      <x:c r="O45" s="14" t="str">
        <x:v>French Pot ice cream, pints, chocolate candies, bakery items</x:v>
      </x:c>
      <x:c r="P45" s="14" t="str">
        <x:v>High: premium vanilla, chocolate chip and confectionery applications</x:v>
      </x:c>
      <x:c r="Q45" s="14" t="str">
        <x:v>Premium manufacturer with both ice cream and confectionery channels.</x:v>
      </x:c>
      <x:c r="R45" s="14" t="str">
        <x:v>Medium</x:v>
      </x:c>
      <x:c r="S45" s="14" t="str">
        <x:v>Medium</x:v>
      </x:c>
      <x:c r="T45" s="14" t="str">
        <x:v>Pitch beans for vanilla ice cream and chocolate confectionery applications.</x:v>
      </x:c>
      <x:c r="U45" s="14" t="str">
        <x:v>100g beans + spec sheet + COA</x:v>
      </x:c>
      <x:c r="V45" s="14" t="str">
        <x:v>Official contact form + LinkedIn procurement outreach</x:v>
      </x:c>
      <x:c r="W45" s="14" t="str">
        <x:v>https://www.graeters.com/contact</x:v>
      </x:c>
      <x:c r="X45" s="14" t="str">
        <x:v>Use official contact route; verify details before sending samples.</x:v>
      </x:c>
      <x:c r="Y45" s="14" t="str">
        <x:v>Not Contacted</x:v>
      </x:c>
      <x:c r="Z45" s="14" t="str"/>
      <x:c r="AA45" s="22" t="str">
        <x:v>2026-07-10</x:v>
      </x:c>
    </x:row>
    <x:row r="46" ht="58" customHeight="1">
      <x:c r="A46" s="34" t="n">
        <x:v>45</x:v>
      </x:c>
      <x:c r="B46" s="35" t="str">
        <x:v>A</x:v>
      </x:c>
      <x:c r="C46" s="35" t="n">
        <x:v>90</x:v>
      </x:c>
      <x:c r="D46" s="35" t="str">
        <x:v>Straus Family Creamery</x:v>
      </x:c>
      <x:c r="E46" s="35" t="str">
        <x:v>Premium ice cream, dairy &amp; frozen desserts</x:v>
      </x:c>
      <x:c r="F46" s="35" t="str">
        <x:v>Private / organic dairy</x:v>
      </x:c>
      <x:c r="G46" s="35" t="str">
        <x:v>Petaluma, California, USA</x:v>
      </x:c>
      <x:c r="H46" s="35" t="str">
        <x:v>USA West Coast</x:v>
      </x:c>
      <x:c r="I46" s="35" t="str">
        <x:v>https://www.strausfamilycreamery.com</x:v>
      </x:c>
      <x:c r="J46" s="35" t="str">
        <x:v>https://www.strausfamilycreamery.com/contact-us/</x:v>
      </x:c>
      <x:c r="K46" s="35" t="str">
        <x:v>Contact form only</x:v>
      </x:c>
      <x:c r="L46" s="35" t="str">
        <x:v>Not publicly listed</x:v>
      </x:c>
      <x:c r="M46" s="35" t="str">
        <x:v>Not publicly listed</x:v>
      </x:c>
      <x:c r="N46" s="35" t="str">
        <x:v>Organic ingredient sourcing / product development</x:v>
      </x:c>
      <x:c r="O46" s="35" t="str">
        <x:v>Organic milk, yogurt, butter, ice cream, sour cream</x:v>
      </x:c>
      <x:c r="P46" s="35" t="str">
        <x:v>High: organic vanilla for ice cream and yogurt</x:v>
      </x:c>
      <x:c r="Q46" s="35" t="str">
        <x:v>Organic dairy manufacturer; strong fit if vanilla has organic or clean-label documentation.</x:v>
      </x:c>
      <x:c r="R46" s="35" t="str">
        <x:v>Specialty</x:v>
      </x:c>
      <x:c r="S46" s="35" t="str">
        <x:v>Medium</x:v>
      </x:c>
      <x:c r="T46" s="35" t="str">
        <x:v>Lead with organic/clean testing and small pilot program for ice cream/yogurt.</x:v>
      </x:c>
      <x:c r="U46" s="35" t="str">
        <x:v>100g beans + spec sheet + COA</x:v>
      </x:c>
      <x:c r="V46" s="35" t="str">
        <x:v>Official contact form + LinkedIn procurement outreach</x:v>
      </x:c>
      <x:c r="W46" s="35" t="str">
        <x:v>https://www.strausfamilycreamery.com/contact-us/</x:v>
      </x:c>
      <x:c r="X46" s="35" t="str">
        <x:v>Use official contact route; verify details before sending samples.</x:v>
      </x:c>
      <x:c r="Y46" s="35" t="str">
        <x:v>Not Contacted</x:v>
      </x:c>
      <x:c r="Z46" s="35" t="str"/>
      <x:c r="AA46" s="36" t="str">
        <x:v>2026-07-10</x:v>
      </x:c>
    </x:row>
    <x:row r="47" ht="58" customHeight="1">
      <x:c r="A47" s="21" t="n">
        <x:v>46</x:v>
      </x:c>
      <x:c r="B47" s="14" t="str">
        <x:v>A</x:v>
      </x:c>
      <x:c r="C47" s="14" t="n">
        <x:v>98</x:v>
      </x:c>
      <x:c r="D47" s="14" t="str">
        <x:v>Perry's Ice Cream</x:v>
      </x:c>
      <x:c r="E47" s="14" t="str">
        <x:v>Premium ice cream, dairy &amp; frozen desserts</x:v>
      </x:c>
      <x:c r="F47" s="14" t="str">
        <x:v>Family-owned</x:v>
      </x:c>
      <x:c r="G47" s="14" t="str">
        <x:v>Akron, New York, USA</x:v>
      </x:c>
      <x:c r="H47" s="14" t="str">
        <x:v>USA / contract manufacturing</x:v>
      </x:c>
      <x:c r="I47" s="14" t="str">
        <x:v>https://www.perrysicecream.com</x:v>
      </x:c>
      <x:c r="J47" s="14" t="str">
        <x:v>https://www.perrysicecream.com/contact/</x:v>
      </x:c>
      <x:c r="K47" s="14" t="str">
        <x:v>Contact form only</x:v>
      </x:c>
      <x:c r="L47" s="14" t="str">
        <x:v>+1 716 542 5492 / +1 800 873 7797</x:v>
      </x:c>
      <x:c r="M47" s="14" t="str">
        <x:v>Not publicly listed</x:v>
      </x:c>
      <x:c r="N47" s="14" t="str">
        <x:v>Contract manufacturing / ingredient procurement</x:v>
      </x:c>
      <x:c r="O47" s="14" t="str">
        <x:v>Premium ice cream, frozen novelties, contract-manufactured desserts</x:v>
      </x:c>
      <x:c r="P47" s="14" t="str">
        <x:v>Very high: vanilla for branded and contract-manufactured frozen desserts</x:v>
      </x:c>
      <x:c r="Q47" s="14" t="str">
        <x:v>Contract manufacturer may move volume faster through multiple client products.</x:v>
      </x:c>
      <x:c r="R47" s="14" t="str">
        <x:v>Large</x:v>
      </x:c>
      <x:c r="S47" s="14" t="str">
        <x:v>Fast</x:v>
      </x:c>
      <x:c r="T47" s="14" t="str">
        <x:v>Target contract-manufacturing team; offer 25kg trial and price ladder for 100–500kg.</x:v>
      </x:c>
      <x:c r="U47" s="14" t="str">
        <x:v>100g beans + spec sheet + COA</x:v>
      </x:c>
      <x:c r="V47" s="14" t="str">
        <x:v>Official contact form + LinkedIn procurement outreach</x:v>
      </x:c>
      <x:c r="W47" s="14" t="str">
        <x:v>https://www.perrysicecream.com/contact/</x:v>
      </x:c>
      <x:c r="X47" s="14" t="str">
        <x:v>Official contact page lists phone numbers and business inquiry routing.</x:v>
      </x:c>
      <x:c r="Y47" s="14" t="str">
        <x:v>Not Contacted</x:v>
      </x:c>
      <x:c r="Z47" s="14" t="str"/>
      <x:c r="AA47" s="22" t="str">
        <x:v>2026-07-10</x:v>
      </x:c>
    </x:row>
    <x:row r="48" ht="58" customHeight="1">
      <x:c r="A48" s="34" t="n">
        <x:v>47</x:v>
      </x:c>
      <x:c r="B48" s="35" t="str">
        <x:v>B</x:v>
      </x:c>
      <x:c r="C48" s="35" t="n">
        <x:v>82</x:v>
      </x:c>
      <x:c r="D48" s="35" t="str">
        <x:v>Blue Bell Creameries</x:v>
      </x:c>
      <x:c r="E48" s="35" t="str">
        <x:v>Premium ice cream, dairy &amp; frozen desserts</x:v>
      </x:c>
      <x:c r="F48" s="35" t="str">
        <x:v>Private</x:v>
      </x:c>
      <x:c r="G48" s="35" t="str">
        <x:v>Brenham, Texas, USA</x:v>
      </x:c>
      <x:c r="H48" s="35" t="str">
        <x:v>USA</x:v>
      </x:c>
      <x:c r="I48" s="35" t="str">
        <x:v>https://www.bluebell.com</x:v>
      </x:c>
      <x:c r="J48" s="35" t="str">
        <x:v>https://www.bluebell.com/contact-us/</x:v>
      </x:c>
      <x:c r="K48" s="35" t="str">
        <x:v>Contact form only</x:v>
      </x:c>
      <x:c r="L48" s="35" t="str">
        <x:v>Not publicly listed</x:v>
      </x:c>
      <x:c r="M48" s="35" t="str">
        <x:v>Not publicly listed</x:v>
      </x:c>
      <x:c r="N48" s="35" t="str">
        <x:v>Ingredient sourcing / production procurement</x:v>
      </x:c>
      <x:c r="O48" s="35" t="str">
        <x:v>Ice cream, frozen snacks, pints, half-gallons</x:v>
      </x:c>
      <x:c r="P48" s="35" t="str">
        <x:v>Very high: vanilla is a core flavor and large-volume SKU</x:v>
      </x:c>
      <x:c r="Q48" s="35" t="str">
        <x:v>Large regional ice cream manufacturer with significant volume potential.</x:v>
      </x:c>
      <x:c r="R48" s="35" t="str">
        <x:v>Large</x:v>
      </x:c>
      <x:c r="S48" s="35" t="str">
        <x:v>Slow</x:v>
      </x:c>
      <x:c r="T48" s="35" t="str">
        <x:v>Ask contact team to route to ingredient procurement for vanilla category.</x:v>
      </x:c>
      <x:c r="U48" s="35" t="str">
        <x:v>100g beans + spec sheet + COA</x:v>
      </x:c>
      <x:c r="V48" s="35" t="str">
        <x:v>Official contact form + LinkedIn procurement outreach</x:v>
      </x:c>
      <x:c r="W48" s="35" t="str">
        <x:v>https://www.bluebell.com/contact-us/</x:v>
      </x:c>
      <x:c r="X48" s="35" t="str">
        <x:v>Use official contact route; verify details before sending samples.</x:v>
      </x:c>
      <x:c r="Y48" s="35" t="str">
        <x:v>Not Contacted</x:v>
      </x:c>
      <x:c r="Z48" s="35" t="str"/>
      <x:c r="AA48" s="36" t="str">
        <x:v>2026-07-10</x:v>
      </x:c>
    </x:row>
    <x:row r="49" ht="58" customHeight="1">
      <x:c r="A49" s="21" t="n">
        <x:v>48</x:v>
      </x:c>
      <x:c r="B49" s="14" t="str">
        <x:v>B</x:v>
      </x:c>
      <x:c r="C49" s="14" t="n">
        <x:v>84</x:v>
      </x:c>
      <x:c r="D49" s="14" t="str">
        <x:v>Wells Enterprises / Blue Bunny</x:v>
      </x:c>
      <x:c r="E49" s="14" t="str">
        <x:v>Premium ice cream, dairy &amp; frozen desserts</x:v>
      </x:c>
      <x:c r="F49" s="14" t="str">
        <x:v>Ferrero Group</x:v>
      </x:c>
      <x:c r="G49" s="14" t="str">
        <x:v>Le Mars, Iowa, USA</x:v>
      </x:c>
      <x:c r="H49" s="14" t="str">
        <x:v>North America</x:v>
      </x:c>
      <x:c r="I49" s="14" t="str">
        <x:v>https://wellsenterprisesinc.com</x:v>
      </x:c>
      <x:c r="J49" s="14" t="str">
        <x:v>https://wellsenterprisesinc.com/contact-us/</x:v>
      </x:c>
      <x:c r="K49" s="14" t="str">
        <x:v>Contact form only</x:v>
      </x:c>
      <x:c r="L49" s="14" t="str">
        <x:v>Not publicly listed</x:v>
      </x:c>
      <x:c r="M49" s="14" t="str">
        <x:v>Not publicly listed</x:v>
      </x:c>
      <x:c r="N49" s="14" t="str">
        <x:v>Ingredient procurement / Ferrero supplier channel</x:v>
      </x:c>
      <x:c r="O49" s="14" t="str">
        <x:v>Blue Bunny, Halo Top, Bomb Pop, private label frozen desserts</x:v>
      </x:c>
      <x:c r="P49" s="14" t="str">
        <x:v>Very high: vanilla for retail ice cream and frozen novelties</x:v>
      </x:c>
      <x:c r="Q49" s="14" t="str">
        <x:v>Large volume manufacturer; parent Ferrero supplier route may be relevant.</x:v>
      </x:c>
      <x:c r="R49" s="14" t="str">
        <x:v>Strategic/Large</x:v>
      </x:c>
      <x:c r="S49" s="14" t="str">
        <x:v>Slow</x:v>
      </x:c>
      <x:c r="T49" s="14" t="str">
        <x:v>Use Wells contact plus Ferrero supplier portal; position as vanilla origin diversification.</x:v>
      </x:c>
      <x:c r="U49" s="14" t="str">
        <x:v>100g beans + spec sheet + COA</x:v>
      </x:c>
      <x:c r="V49" s="14" t="str">
        <x:v>Official contact form + LinkedIn procurement outreach</x:v>
      </x:c>
      <x:c r="W49" s="14" t="str">
        <x:v>https://wellsenterprisesinc.com/contact-us/</x:v>
      </x:c>
      <x:c r="X49" s="14" t="str">
        <x:v>Use official contact route; verify details before sending samples.</x:v>
      </x:c>
      <x:c r="Y49" s="14" t="str">
        <x:v>Not Contacted</x:v>
      </x:c>
      <x:c r="Z49" s="14" t="str"/>
      <x:c r="AA49" s="22" t="str">
        <x:v>2026-07-10</x:v>
      </x:c>
    </x:row>
    <x:row r="50" ht="58" customHeight="1">
      <x:c r="A50" s="34" t="n">
        <x:v>49</x:v>
      </x:c>
      <x:c r="B50" s="35" t="str">
        <x:v>B</x:v>
      </x:c>
      <x:c r="C50" s="35" t="n">
        <x:v>85</x:v>
      </x:c>
      <x:c r="D50" s="35" t="str">
        <x:v>Turkey Hill Dairy</x:v>
      </x:c>
      <x:c r="E50" s="35" t="str">
        <x:v>Premium ice cream, dairy &amp; frozen desserts</x:v>
      </x:c>
      <x:c r="F50" s="35" t="str">
        <x:v>Private / Peak Rock Capital</x:v>
      </x:c>
      <x:c r="G50" s="35" t="str">
        <x:v>Conestoga, Pennsylvania, USA</x:v>
      </x:c>
      <x:c r="H50" s="35" t="str">
        <x:v>USA</x:v>
      </x:c>
      <x:c r="I50" s="35" t="str">
        <x:v>https://www.turkeyhill.com</x:v>
      </x:c>
      <x:c r="J50" s="35" t="str">
        <x:v>https://www.turkeyhill.com/contact</x:v>
      </x:c>
      <x:c r="K50" s="35" t="str">
        <x:v>Contact form only</x:v>
      </x:c>
      <x:c r="L50" s="35" t="str">
        <x:v>Not publicly listed</x:v>
      </x:c>
      <x:c r="M50" s="35" t="str">
        <x:v>Not publicly listed</x:v>
      </x:c>
      <x:c r="N50" s="35" t="str">
        <x:v>Ingredient procurement / R&amp;D</x:v>
      </x:c>
      <x:c r="O50" s="35" t="str">
        <x:v>Ice cream, iced tea, drinks, frozen desserts</x:v>
      </x:c>
      <x:c r="P50" s="35" t="str">
        <x:v>High: vanilla for ice cream and dairy beverage systems</x:v>
      </x:c>
      <x:c r="Q50" s="35" t="str">
        <x:v>Mid-large US manufacturer with significant ice cream volume.</x:v>
      </x:c>
      <x:c r="R50" s="35" t="str">
        <x:v>Large</x:v>
      </x:c>
      <x:c r="S50" s="35" t="str">
        <x:v>Medium</x:v>
      </x:c>
      <x:c r="T50" s="35" t="str">
        <x:v>Send supplier intro and ask for vanilla category buyer/R&amp;D route.</x:v>
      </x:c>
      <x:c r="U50" s="35" t="str">
        <x:v>100g beans + spec sheet + COA</x:v>
      </x:c>
      <x:c r="V50" s="35" t="str">
        <x:v>Official contact form + LinkedIn procurement outreach</x:v>
      </x:c>
      <x:c r="W50" s="35" t="str">
        <x:v>https://www.turkeyhill.com/contact</x:v>
      </x:c>
      <x:c r="X50" s="35" t="str">
        <x:v>Use official contact route; verify details before sending samples.</x:v>
      </x:c>
      <x:c r="Y50" s="35" t="str">
        <x:v>Not Contacted</x:v>
      </x:c>
      <x:c r="Z50" s="35" t="str"/>
      <x:c r="AA50" s="36" t="str">
        <x:v>2026-07-10</x:v>
      </x:c>
    </x:row>
    <x:row r="51" ht="58" customHeight="1">
      <x:c r="A51" s="21" t="n">
        <x:v>50</x:v>
      </x:c>
      <x:c r="B51" s="14" t="str">
        <x:v>A</x:v>
      </x:c>
      <x:c r="C51" s="14" t="n">
        <x:v>92</x:v>
      </x:c>
      <x:c r="D51" s="14" t="str">
        <x:v>High Road Craft Ice Cream</x:v>
      </x:c>
      <x:c r="E51" s="14" t="str">
        <x:v>Premium ice cream, dairy &amp; frozen desserts</x:v>
      </x:c>
      <x:c r="F51" s="14" t="str">
        <x:v>Private</x:v>
      </x:c>
      <x:c r="G51" s="14" t="str">
        <x:v>Marietta, Georgia, USA</x:v>
      </x:c>
      <x:c r="H51" s="14" t="str">
        <x:v>USA / foodservice</x:v>
      </x:c>
      <x:c r="I51" s="14" t="str">
        <x:v>https://highroadcraft.com</x:v>
      </x:c>
      <x:c r="J51" s="14" t="str">
        <x:v>https://highroadcraft.com/pages/contact</x:v>
      </x:c>
      <x:c r="K51" s="14" t="str">
        <x:v>Contact form only</x:v>
      </x:c>
      <x:c r="L51" s="14" t="str">
        <x:v>Not publicly listed</x:v>
      </x:c>
      <x:c r="M51" s="14" t="str">
        <x:v>Not publicly listed</x:v>
      </x:c>
      <x:c r="N51" s="14" t="str">
        <x:v>Culinary/R&amp;D ingredient sourcing</x:v>
      </x:c>
      <x:c r="O51" s="14" t="str">
        <x:v>Craft ice cream, foodservice desserts, private label</x:v>
      </x:c>
      <x:c r="P51" s="14" t="str">
        <x:v>High: chef-driven vanilla applications</x:v>
      </x:c>
      <x:c r="Q51" s="14" t="str">
        <x:v>Craft manufacturer may respond faster and pay for quality.</x:v>
      </x:c>
      <x:c r="R51" s="14" t="str">
        <x:v>Specialty</x:v>
      </x:c>
      <x:c r="S51" s="14" t="str">
        <x:v>Fast</x:v>
      </x:c>
      <x:c r="T51" s="14" t="str">
        <x:v>Pitch chef-grade vanilla with direct sample and formulation support.</x:v>
      </x:c>
      <x:c r="U51" s="14" t="str">
        <x:v>100g beans + spec sheet + COA</x:v>
      </x:c>
      <x:c r="V51" s="14" t="str">
        <x:v>Official contact form + LinkedIn procurement outreach</x:v>
      </x:c>
      <x:c r="W51" s="14" t="str">
        <x:v>https://highroadcraft.com/pages/contact</x:v>
      </x:c>
      <x:c r="X51" s="14" t="str">
        <x:v>Use official contact route; verify details before sending samples.</x:v>
      </x:c>
      <x:c r="Y51" s="14" t="str">
        <x:v>Not Contacted</x:v>
      </x:c>
      <x:c r="Z51" s="14" t="str"/>
      <x:c r="AA51" s="22" t="str">
        <x:v>2026-07-10</x:v>
      </x:c>
    </x:row>
    <x:row r="52" ht="58" customHeight="1">
      <x:c r="A52" s="34" t="n">
        <x:v>51</x:v>
      </x:c>
      <x:c r="B52" s="35" t="str">
        <x:v>A</x:v>
      </x:c>
      <x:c r="C52" s="35" t="n">
        <x:v>90</x:v>
      </x:c>
      <x:c r="D52" s="35" t="str">
        <x:v>Alden's Organic</x:v>
      </x:c>
      <x:c r="E52" s="35" t="str">
        <x:v>Premium ice cream, dairy &amp; frozen desserts</x:v>
      </x:c>
      <x:c r="F52" s="35" t="str">
        <x:v>Oregon Ice Cream Company</x:v>
      </x:c>
      <x:c r="G52" s="35" t="str">
        <x:v>Eugene, Oregon, USA</x:v>
      </x:c>
      <x:c r="H52" s="35" t="str">
        <x:v>USA</x:v>
      </x:c>
      <x:c r="I52" s="35" t="str">
        <x:v>https://aldensicecream.com</x:v>
      </x:c>
      <x:c r="J52" s="35" t="str">
        <x:v>https://aldensicecream.com/contact-us/</x:v>
      </x:c>
      <x:c r="K52" s="35" t="str">
        <x:v>Contact form only</x:v>
      </x:c>
      <x:c r="L52" s="35" t="str">
        <x:v>Not publicly listed</x:v>
      </x:c>
      <x:c r="M52" s="35" t="str">
        <x:v>Not publicly listed</x:v>
      </x:c>
      <x:c r="N52" s="35" t="str">
        <x:v>Organic ingredient sourcing / production</x:v>
      </x:c>
      <x:c r="O52" s="35" t="str">
        <x:v>Organic ice cream, dairy-free frozen desserts, novelties</x:v>
      </x:c>
      <x:c r="P52" s="35" t="str">
        <x:v>High if organic/clean label vanilla is available</x:v>
      </x:c>
      <x:c r="Q52" s="35" t="str">
        <x:v>Organic frozen dessert brand; strong quality and certification fit.</x:v>
      </x:c>
      <x:c r="R52" s="35" t="str">
        <x:v>Specialty</x:v>
      </x:c>
      <x:c r="S52" s="35" t="str">
        <x:v>Medium</x:v>
      </x:c>
      <x:c r="T52" s="35" t="str">
        <x:v>Lead with organic status, residue testing and clean-label story.</x:v>
      </x:c>
      <x:c r="U52" s="35" t="str">
        <x:v>100g beans + spec sheet + COA</x:v>
      </x:c>
      <x:c r="V52" s="35" t="str">
        <x:v>Official contact form + LinkedIn procurement outreach</x:v>
      </x:c>
      <x:c r="W52" s="35" t="str">
        <x:v>https://aldensicecream.com/contact-us/</x:v>
      </x:c>
      <x:c r="X52" s="35" t="str">
        <x:v>Use official contact route; verify details before sending samples.</x:v>
      </x:c>
      <x:c r="Y52" s="35" t="str">
        <x:v>Not Contacted</x:v>
      </x:c>
      <x:c r="Z52" s="35" t="str"/>
      <x:c r="AA52" s="36" t="str">
        <x:v>2026-07-10</x:v>
      </x:c>
    </x:row>
    <x:row r="53" ht="58" customHeight="1">
      <x:c r="A53" s="21" t="n">
        <x:v>52</x:v>
      </x:c>
      <x:c r="B53" s="14" t="str">
        <x:v>A</x:v>
      </x:c>
      <x:c r="C53" s="14" t="n">
        <x:v>92</x:v>
      </x:c>
      <x:c r="D53" s="14" t="str">
        <x:v>Gelato Fiasco</x:v>
      </x:c>
      <x:c r="E53" s="14" t="str">
        <x:v>Premium ice cream, dairy &amp; frozen desserts</x:v>
      </x:c>
      <x:c r="F53" s="14" t="str">
        <x:v>Private</x:v>
      </x:c>
      <x:c r="G53" s="14" t="str">
        <x:v>Brunswick, Maine, USA</x:v>
      </x:c>
      <x:c r="H53" s="14" t="str">
        <x:v>USA</x:v>
      </x:c>
      <x:c r="I53" s="14" t="str">
        <x:v>https://www.gelatofiasco.com</x:v>
      </x:c>
      <x:c r="J53" s="14" t="str">
        <x:v>https://www.gelatofiasco.com/contact</x:v>
      </x:c>
      <x:c r="K53" s="14" t="str">
        <x:v>Contact form only</x:v>
      </x:c>
      <x:c r="L53" s="14" t="str">
        <x:v>Not publicly listed</x:v>
      </x:c>
      <x:c r="M53" s="14" t="str">
        <x:v>Not publicly listed</x:v>
      </x:c>
      <x:c r="N53" s="14" t="str">
        <x:v>Product development / ingredient sourcing</x:v>
      </x:c>
      <x:c r="O53" s="14" t="str">
        <x:v>Gelato, sorbetto, pints, scoop shops</x:v>
      </x:c>
      <x:c r="P53" s="14" t="str">
        <x:v>High: gelato is flavor-forward and can showcase vanilla origin</x:v>
      </x:c>
      <x:c r="Q53" s="14" t="str">
        <x:v>Small premium brand; fast trial potential.</x:v>
      </x:c>
      <x:c r="R53" s="14" t="str">
        <x:v>Specialty</x:v>
      </x:c>
      <x:c r="S53" s="14" t="str">
        <x:v>Fast</x:v>
      </x:c>
      <x:c r="T53" s="14" t="str">
        <x:v>Pitch 5kg trial and limited Ecuador vanilla gelato concept.</x:v>
      </x:c>
      <x:c r="U53" s="14" t="str">
        <x:v>100g beans + spec sheet + COA</x:v>
      </x:c>
      <x:c r="V53" s="14" t="str">
        <x:v>Official contact form + LinkedIn procurement outreach</x:v>
      </x:c>
      <x:c r="W53" s="14" t="str">
        <x:v>https://www.gelatofiasco.com/contact</x:v>
      </x:c>
      <x:c r="X53" s="14" t="str">
        <x:v>Use official contact route; verify details before sending samples.</x:v>
      </x:c>
      <x:c r="Y53" s="14" t="str">
        <x:v>Not Contacted</x:v>
      </x:c>
      <x:c r="Z53" s="14" t="str"/>
      <x:c r="AA53" s="22" t="str">
        <x:v>2026-07-10</x:v>
      </x:c>
    </x:row>
    <x:row r="54" ht="58" customHeight="1">
      <x:c r="A54" s="34" t="n">
        <x:v>53</x:v>
      </x:c>
      <x:c r="B54" s="35" t="str">
        <x:v>A</x:v>
      </x:c>
      <x:c r="C54" s="35" t="n">
        <x:v>90</x:v>
      </x:c>
      <x:c r="D54" s="35" t="str">
        <x:v>Gelato Messina</x:v>
      </x:c>
      <x:c r="E54" s="35" t="str">
        <x:v>Premium ice cream, dairy &amp; frozen desserts</x:v>
      </x:c>
      <x:c r="F54" s="35" t="str">
        <x:v>Private</x:v>
      </x:c>
      <x:c r="G54" s="35" t="str">
        <x:v>Sydney, Australia</x:v>
      </x:c>
      <x:c r="H54" s="35" t="str">
        <x:v>Australia / Asia</x:v>
      </x:c>
      <x:c r="I54" s="35" t="str">
        <x:v>https://gelatomessina.com</x:v>
      </x:c>
      <x:c r="J54" s="35" t="str">
        <x:v>https://gelatomessina.com/pages/contact</x:v>
      </x:c>
      <x:c r="K54" s="35" t="str">
        <x:v>Contact form only</x:v>
      </x:c>
      <x:c r="L54" s="35" t="str">
        <x:v>Not publicly listed</x:v>
      </x:c>
      <x:c r="M54" s="35" t="str">
        <x:v>Not publicly listed</x:v>
      </x:c>
      <x:c r="N54" s="35" t="str">
        <x:v>Production/R&amp;D ingredient sourcing</x:v>
      </x:c>
      <x:c r="O54" s="35" t="str">
        <x:v>Premium gelato, cakes, desserts, milk and chocolate production</x:v>
      </x:c>
      <x:c r="P54" s="35" t="str">
        <x:v>Very high: gelato and dessert applications</x:v>
      </x:c>
      <x:c r="Q54" s="35" t="str">
        <x:v>Premium innovation-led gelato maker; possible high-margin specialty buyer.</x:v>
      </x:c>
      <x:c r="R54" s="35" t="str">
        <x:v>Specialty</x:v>
      </x:c>
      <x:c r="S54" s="35" t="str">
        <x:v>Medium</x:v>
      </x:c>
      <x:c r="T54" s="35" t="str">
        <x:v>Pitch chef sample and origin story; quote CIF Australia with testing documents.</x:v>
      </x:c>
      <x:c r="U54" s="35" t="str">
        <x:v>100g beans + spec sheet + COA</x:v>
      </x:c>
      <x:c r="V54" s="35" t="str">
        <x:v>Official contact form + LinkedIn procurement outreach</x:v>
      </x:c>
      <x:c r="W54" s="35" t="str">
        <x:v>https://gelatomessina.com/pages/contact</x:v>
      </x:c>
      <x:c r="X54" s="35" t="str">
        <x:v>Use official contact route; verify details before sending samples.</x:v>
      </x:c>
      <x:c r="Y54" s="35" t="str">
        <x:v>Not Contacted</x:v>
      </x:c>
      <x:c r="Z54" s="35" t="str"/>
      <x:c r="AA54" s="36" t="str">
        <x:v>2026-07-10</x:v>
      </x:c>
    </x:row>
    <x:row r="55" ht="58" customHeight="1">
      <x:c r="A55" s="21" t="n">
        <x:v>54</x:v>
      </x:c>
      <x:c r="B55" s="14" t="str">
        <x:v>B</x:v>
      </x:c>
      <x:c r="C55" s="14" t="n">
        <x:v>79</x:v>
      </x:c>
      <x:c r="D55" s="14" t="str">
        <x:v>Mackie's of Scotland</x:v>
      </x:c>
      <x:c r="E55" s="14" t="str">
        <x:v>Premium ice cream, dairy &amp; frozen desserts</x:v>
      </x:c>
      <x:c r="F55" s="14" t="str">
        <x:v>Family-owned</x:v>
      </x:c>
      <x:c r="G55" s="14" t="str">
        <x:v>Aberdeenshire, Scotland</x:v>
      </x:c>
      <x:c r="H55" s="14" t="str">
        <x:v>UK</x:v>
      </x:c>
      <x:c r="I55" s="14" t="str">
        <x:v>https://www.mackies.co.uk</x:v>
      </x:c>
      <x:c r="J55" s="14" t="str">
        <x:v>https://www.mackies.co.uk/contact-us/</x:v>
      </x:c>
      <x:c r="K55" s="14" t="str">
        <x:v>Contact form only</x:v>
      </x:c>
      <x:c r="L55" s="14" t="str">
        <x:v>Not publicly listed</x:v>
      </x:c>
      <x:c r="M55" s="14" t="str">
        <x:v>Not publicly listed</x:v>
      </x:c>
      <x:c r="N55" s="14" t="str">
        <x:v>Ingredient sourcing / production</x:v>
      </x:c>
      <x:c r="O55" s="14" t="str">
        <x:v>Ice cream, chocolate, crisps</x:v>
      </x:c>
      <x:c r="P55" s="14" t="str">
        <x:v>High: vanilla for ice cream and chocolate</x:v>
      </x:c>
      <x:c r="Q55" s="14" t="str">
        <x:v>Family-owned premium dairy/ice cream and chocolate maker.</x:v>
      </x:c>
      <x:c r="R55" s="14" t="str">
        <x:v>Specialty</x:v>
      </x:c>
      <x:c r="S55" s="14" t="str">
        <x:v>Medium</x:v>
      </x:c>
      <x:c r="T55" s="14" t="str">
        <x:v>Pitch dual ice-cream/chocolate application and sustainable origin.</x:v>
      </x:c>
      <x:c r="U55" s="14" t="str">
        <x:v>100g beans + spec sheet + COA</x:v>
      </x:c>
      <x:c r="V55" s="14" t="str">
        <x:v>Official contact form + LinkedIn procurement outreach</x:v>
      </x:c>
      <x:c r="W55" s="14" t="str">
        <x:v>https://www.mackies.co.uk/contact-us/</x:v>
      </x:c>
      <x:c r="X55" s="14" t="str">
        <x:v>Use official contact route; verify details before sending samples.</x:v>
      </x:c>
      <x:c r="Y55" s="14" t="str">
        <x:v>Not Contacted</x:v>
      </x:c>
      <x:c r="Z55" s="14" t="str"/>
      <x:c r="AA55" s="22" t="str">
        <x:v>2026-07-10</x:v>
      </x:c>
    </x:row>
    <x:row r="56" ht="58" customHeight="1">
      <x:c r="A56" s="34" t="n">
        <x:v>55</x:v>
      </x:c>
      <x:c r="B56" s="35" t="str">
        <x:v>B</x:v>
      </x:c>
      <x:c r="C56" s="35" t="n">
        <x:v>82</x:v>
      </x:c>
      <x:c r="D56" s="35" t="str">
        <x:v>Yeo Valley Organic</x:v>
      </x:c>
      <x:c r="E56" s="35" t="str">
        <x:v>Premium ice cream, dairy &amp; frozen desserts</x:v>
      </x:c>
      <x:c r="F56" s="35" t="str">
        <x:v>Family-owned</x:v>
      </x:c>
      <x:c r="G56" s="35" t="str">
        <x:v>Blagdon, United Kingdom</x:v>
      </x:c>
      <x:c r="H56" s="35" t="str">
        <x:v>UK</x:v>
      </x:c>
      <x:c r="I56" s="35" t="str">
        <x:v>https://www.yeovalley.co.uk</x:v>
      </x:c>
      <x:c r="J56" s="35" t="str">
        <x:v>https://www.yeovalley.co.uk/contact-us/</x:v>
      </x:c>
      <x:c r="K56" s="35" t="str">
        <x:v>Contact form only</x:v>
      </x:c>
      <x:c r="L56" s="35" t="str">
        <x:v>Not publicly listed</x:v>
      </x:c>
      <x:c r="M56" s="35" t="str">
        <x:v>Not publicly listed</x:v>
      </x:c>
      <x:c r="N56" s="35" t="str">
        <x:v>Organic ingredient procurement</x:v>
      </x:c>
      <x:c r="O56" s="35" t="str">
        <x:v>Organic yogurt, dairy, desserts, ice cream</x:v>
      </x:c>
      <x:c r="P56" s="35" t="str">
        <x:v>High if organic vanilla and clean testing are available</x:v>
      </x:c>
      <x:c r="Q56" s="35" t="str">
        <x:v>Organic dairy brand; potential for premium vanilla yogurt and desserts.</x:v>
      </x:c>
      <x:c r="R56" s="35" t="str">
        <x:v>Medium</x:v>
      </x:c>
      <x:c r="S56" s="35" t="str">
        <x:v>Medium</x:v>
      </x:c>
      <x:c r="T56" s="35" t="str">
        <x:v>Lead with organic/documented supply and UK import readiness.</x:v>
      </x:c>
      <x:c r="U56" s="35" t="str">
        <x:v>100g beans + spec sheet + COA</x:v>
      </x:c>
      <x:c r="V56" s="35" t="str">
        <x:v>Official contact form + LinkedIn procurement outreach</x:v>
      </x:c>
      <x:c r="W56" s="35" t="str">
        <x:v>https://www.yeovalley.co.uk/contact-us/</x:v>
      </x:c>
      <x:c r="X56" s="35" t="str">
        <x:v>Use official contact route; verify details before sending samples.</x:v>
      </x:c>
      <x:c r="Y56" s="35" t="str">
        <x:v>Not Contacted</x:v>
      </x:c>
      <x:c r="Z56" s="35" t="str"/>
      <x:c r="AA56" s="36" t="str">
        <x:v>2026-07-10</x:v>
      </x:c>
    </x:row>
    <x:row r="57" ht="58" customHeight="1">
      <x:c r="A57" s="21" t="n">
        <x:v>56</x:v>
      </x:c>
      <x:c r="B57" s="14" t="str">
        <x:v>A</x:v>
      </x:c>
      <x:c r="C57" s="14" t="n">
        <x:v>96</x:v>
      </x:c>
      <x:c r="D57" s="14" t="str">
        <x:v>Chobani</x:v>
      </x:c>
      <x:c r="E57" s="14" t="str">
        <x:v>Premium ice cream, dairy &amp; frozen desserts</x:v>
      </x:c>
      <x:c r="F57" s="14" t="str">
        <x:v>Private</x:v>
      </x:c>
      <x:c r="G57" s="14" t="str">
        <x:v>New Berlin, New York, USA</x:v>
      </x:c>
      <x:c r="H57" s="14" t="str">
        <x:v>USA / Australia / global expansion</x:v>
      </x:c>
      <x:c r="I57" s="14" t="str">
        <x:v>https://www.chobani.com</x:v>
      </x:c>
      <x:c r="J57" s="14" t="str">
        <x:v>https://www.chobani.com/contact-us</x:v>
      </x:c>
      <x:c r="K57" s="14" t="str">
        <x:v>Contact form only</x:v>
      </x:c>
      <x:c r="L57" s="14" t="str">
        <x:v>Not publicly listed</x:v>
      </x:c>
      <x:c r="M57" s="14" t="str">
        <x:v>Not publicly listed</x:v>
      </x:c>
      <x:c r="N57" s="14" t="str">
        <x:v>Ingredient sourcing / yogurt and creamer R&amp;D</x:v>
      </x:c>
      <x:c r="O57" s="14" t="str">
        <x:v>Greek yogurt, creamers, oatmilk, drinks, desserts</x:v>
      </x:c>
      <x:c r="P57" s="14" t="str">
        <x:v>High: vanilla yogurt, creamer and drink applications</x:v>
      </x:c>
      <x:c r="Q57" s="14" t="str">
        <x:v>Large high-quality yogurt maker with natural ingredient positioning.</x:v>
      </x:c>
      <x:c r="R57" s="14" t="str">
        <x:v>Large</x:v>
      </x:c>
      <x:c r="S57" s="14" t="str">
        <x:v>Medium</x:v>
      </x:c>
      <x:c r="T57" s="14" t="str">
        <x:v>Use contact/supplier routes and target sourcing managers for vanilla/natural flavors.</x:v>
      </x:c>
      <x:c r="U57" s="14" t="str">
        <x:v>100g beans + spec sheet + COA</x:v>
      </x:c>
      <x:c r="V57" s="14" t="str">
        <x:v>Official contact form + LinkedIn procurement outreach</x:v>
      </x:c>
      <x:c r="W57" s="14" t="str">
        <x:v>https://www.chobani.com/legal/supplier-code-of-conduct</x:v>
      </x:c>
      <x:c r="X57" s="14" t="str">
        <x:v>Supplier code available; procurement-specific contact not public.</x:v>
      </x:c>
      <x:c r="Y57" s="14" t="str">
        <x:v>Not Contacted</x:v>
      </x:c>
      <x:c r="Z57" s="14" t="str"/>
      <x:c r="AA57" s="22" t="str">
        <x:v>2026-07-10</x:v>
      </x:c>
    </x:row>
    <x:row r="58" ht="58" customHeight="1">
      <x:c r="A58" s="34" t="n">
        <x:v>57</x:v>
      </x:c>
      <x:c r="B58" s="35" t="str">
        <x:v>B</x:v>
      </x:c>
      <x:c r="C58" s="35" t="n">
        <x:v>82</x:v>
      </x:c>
      <x:c r="D58" s="35" t="str">
        <x:v>FAGE</x:v>
      </x:c>
      <x:c r="E58" s="35" t="str">
        <x:v>Premium ice cream, dairy &amp; frozen desserts</x:v>
      </x:c>
      <x:c r="F58" s="35" t="str">
        <x:v>FAGE International</x:v>
      </x:c>
      <x:c r="G58" s="35" t="str">
        <x:v>Luxembourg / Greece / USA</x:v>
      </x:c>
      <x:c r="H58" s="35" t="str">
        <x:v>Europe / USA</x:v>
      </x:c>
      <x:c r="I58" s="35" t="str">
        <x:v>https://usa.fage</x:v>
      </x:c>
      <x:c r="J58" s="35" t="str">
        <x:v>https://usa.fage/contact-us/</x:v>
      </x:c>
      <x:c r="K58" s="35" t="str">
        <x:v>Contact form only</x:v>
      </x:c>
      <x:c r="L58" s="35" t="str">
        <x:v>Not publicly listed</x:v>
      </x:c>
      <x:c r="M58" s="35" t="str">
        <x:v>Not publicly listed</x:v>
      </x:c>
      <x:c r="N58" s="35" t="str">
        <x:v>Ingredient procurement / product development</x:v>
      </x:c>
      <x:c r="O58" s="35" t="str">
        <x:v>Greek yogurt, dairy products</x:v>
      </x:c>
      <x:c r="P58" s="35" t="str">
        <x:v>Medium-high: vanilla yogurt and premium dairy dessert applications</x:v>
      </x:c>
      <x:c r="Q58" s="35" t="str">
        <x:v>Premium yogurt brand with large retail presence.</x:v>
      </x:c>
      <x:c r="R58" s="35" t="str">
        <x:v>Medium</x:v>
      </x:c>
      <x:c r="S58" s="35" t="str">
        <x:v>Medium</x:v>
      </x:c>
      <x:c r="T58" s="35" t="str">
        <x:v>Ask for sourcing contact for vanilla/natural flavor ingredients.</x:v>
      </x:c>
      <x:c r="U58" s="35" t="str">
        <x:v>100g beans + spec sheet + COA</x:v>
      </x:c>
      <x:c r="V58" s="35" t="str">
        <x:v>Official contact form + LinkedIn procurement outreach</x:v>
      </x:c>
      <x:c r="W58" s="35" t="str">
        <x:v>https://usa.fage/contact-us/</x:v>
      </x:c>
      <x:c r="X58" s="35" t="str">
        <x:v>Use official contact route; verify details before sending samples.</x:v>
      </x:c>
      <x:c r="Y58" s="35" t="str">
        <x:v>Not Contacted</x:v>
      </x:c>
      <x:c r="Z58" s="35" t="str"/>
      <x:c r="AA58" s="36" t="str">
        <x:v>2026-07-10</x:v>
      </x:c>
    </x:row>
    <x:row r="59" ht="58" customHeight="1">
      <x:c r="A59" s="21" t="n">
        <x:v>58</x:v>
      </x:c>
      <x:c r="B59" s="14" t="str">
        <x:v>B</x:v>
      </x:c>
      <x:c r="C59" s="14" t="n">
        <x:v>82</x:v>
      </x:c>
      <x:c r="D59" s="14" t="str">
        <x:v>siggi's</x:v>
      </x:c>
      <x:c r="E59" s="14" t="str">
        <x:v>Premium ice cream, dairy &amp; frozen desserts</x:v>
      </x:c>
      <x:c r="F59" s="14" t="str">
        <x:v>Lactalis</x:v>
      </x:c>
      <x:c r="G59" s="14" t="str">
        <x:v>New York, USA</x:v>
      </x:c>
      <x:c r="H59" s="14" t="str">
        <x:v>USA</x:v>
      </x:c>
      <x:c r="I59" s="14" t="str">
        <x:v>https://siggis.com</x:v>
      </x:c>
      <x:c r="J59" s="14" t="str">
        <x:v>https://siggis.com/contact-us/</x:v>
      </x:c>
      <x:c r="K59" s="14" t="str">
        <x:v>Contact form only</x:v>
      </x:c>
      <x:c r="L59" s="14" t="str">
        <x:v>Not publicly listed</x:v>
      </x:c>
      <x:c r="M59" s="14" t="str">
        <x:v>Not publicly listed</x:v>
      </x:c>
      <x:c r="N59" s="14" t="str">
        <x:v>Lactalis/siggi's procurement / product development</x:v>
      </x:c>
      <x:c r="O59" s="14" t="str">
        <x:v>Icelandic-style skyr/yogurt, drinkable yogurt</x:v>
      </x:c>
      <x:c r="P59" s="14" t="str">
        <x:v>High: vanilla is common premium yogurt flavor</x:v>
      </x:c>
      <x:c r="Q59" s="14" t="str">
        <x:v>Premium clean-label yogurt brand; may source via Lactalis procurement.</x:v>
      </x:c>
      <x:c r="R59" s="14" t="str">
        <x:v>Medium</x:v>
      </x:c>
      <x:c r="S59" s="14" t="str">
        <x:v>Medium</x:v>
      </x:c>
      <x:c r="T59" s="14" t="str">
        <x:v>Contact brand and Lactalis sourcing; pitch clean-label vanilla.</x:v>
      </x:c>
      <x:c r="U59" s="14" t="str">
        <x:v>100g beans + spec sheet + COA</x:v>
      </x:c>
      <x:c r="V59" s="14" t="str">
        <x:v>Official contact form + LinkedIn procurement outreach</x:v>
      </x:c>
      <x:c r="W59" s="14" t="str">
        <x:v>https://siggis.com/contact-us/</x:v>
      </x:c>
      <x:c r="X59" s="14" t="str">
        <x:v>Use official contact route; verify details before sending samples.</x:v>
      </x:c>
      <x:c r="Y59" s="14" t="str">
        <x:v>Not Contacted</x:v>
      </x:c>
      <x:c r="Z59" s="14" t="str"/>
      <x:c r="AA59" s="22" t="str">
        <x:v>2026-07-10</x:v>
      </x:c>
    </x:row>
    <x:row r="60" ht="58" customHeight="1">
      <x:c r="A60" s="34" t="n">
        <x:v>59</x:v>
      </x:c>
      <x:c r="B60" s="35" t="str">
        <x:v>B</x:v>
      </x:c>
      <x:c r="C60" s="35" t="n">
        <x:v>82</x:v>
      </x:c>
      <x:c r="D60" s="35" t="str">
        <x:v>Stonyfield Organic</x:v>
      </x:c>
      <x:c r="E60" s="35" t="str">
        <x:v>Premium ice cream, dairy &amp; frozen desserts</x:v>
      </x:c>
      <x:c r="F60" s="35" t="str">
        <x:v>Lactalis</x:v>
      </x:c>
      <x:c r="G60" s="35" t="str">
        <x:v>Londonderry, New Hampshire, USA</x:v>
      </x:c>
      <x:c r="H60" s="35" t="str">
        <x:v>USA</x:v>
      </x:c>
      <x:c r="I60" s="35" t="str">
        <x:v>https://www.stonyfield.com</x:v>
      </x:c>
      <x:c r="J60" s="35" t="str">
        <x:v>https://www.stonyfield.com/contact/</x:v>
      </x:c>
      <x:c r="K60" s="35" t="str">
        <x:v>Contact form only</x:v>
      </x:c>
      <x:c r="L60" s="35" t="str">
        <x:v>Not publicly listed</x:v>
      </x:c>
      <x:c r="M60" s="35" t="str">
        <x:v>Not publicly listed</x:v>
      </x:c>
      <x:c r="N60" s="35" t="str">
        <x:v>Organic ingredient sourcing / Lactalis procurement</x:v>
      </x:c>
      <x:c r="O60" s="35" t="str">
        <x:v>Organic yogurt, smoothies, kids' dairy products</x:v>
      </x:c>
      <x:c r="P60" s="35" t="str">
        <x:v>High if organic vanilla available</x:v>
      </x:c>
      <x:c r="Q60" s="35" t="str">
        <x:v>Organic dairy brand with vanilla yogurt needs and sustainability fit.</x:v>
      </x:c>
      <x:c r="R60" s="35" t="str">
        <x:v>Medium</x:v>
      </x:c>
      <x:c r="S60" s="35" t="str">
        <x:v>Medium</x:v>
      </x:c>
      <x:c r="T60" s="35" t="str">
        <x:v>Lead with organic certification or explain conversion status; include clean residue testing.</x:v>
      </x:c>
      <x:c r="U60" s="35" t="str">
        <x:v>100g beans + spec sheet + COA</x:v>
      </x:c>
      <x:c r="V60" s="35" t="str">
        <x:v>Official contact form + LinkedIn procurement outreach</x:v>
      </x:c>
      <x:c r="W60" s="35" t="str">
        <x:v>https://www.stonyfield.com/contact/</x:v>
      </x:c>
      <x:c r="X60" s="35" t="str">
        <x:v>Use official contact route; verify details before sending samples.</x:v>
      </x:c>
      <x:c r="Y60" s="35" t="str">
        <x:v>Not Contacted</x:v>
      </x:c>
      <x:c r="Z60" s="35" t="str"/>
      <x:c r="AA60" s="36" t="str">
        <x:v>2026-07-10</x:v>
      </x:c>
    </x:row>
    <x:row r="61" ht="58" customHeight="1">
      <x:c r="A61" s="21" t="n">
        <x:v>60</x:v>
      </x:c>
      <x:c r="B61" s="14" t="str">
        <x:v>B</x:v>
      </x:c>
      <x:c r="C61" s="14" t="n">
        <x:v>82</x:v>
      </x:c>
      <x:c r="D61" s="14" t="str">
        <x:v>Noosa Yoghurt</x:v>
      </x:c>
      <x:c r="E61" s="14" t="str">
        <x:v>Premium ice cream, dairy &amp; frozen desserts</x:v>
      </x:c>
      <x:c r="F61" s="14" t="str">
        <x:v>Campbell's / Sovos Brands</x:v>
      </x:c>
      <x:c r="G61" s="14" t="str">
        <x:v>Bellvue, Colorado, USA</x:v>
      </x:c>
      <x:c r="H61" s="14" t="str">
        <x:v>USA</x:v>
      </x:c>
      <x:c r="I61" s="14" t="str">
        <x:v>https://www.noosayoghurt.com</x:v>
      </x:c>
      <x:c r="J61" s="14" t="str">
        <x:v>https://www.noosayoghurt.com/contact-us/</x:v>
      </x:c>
      <x:c r="K61" s="14" t="str">
        <x:v>Contact form only</x:v>
      </x:c>
      <x:c r="L61" s="14" t="str">
        <x:v>Not publicly listed</x:v>
      </x:c>
      <x:c r="M61" s="14" t="str">
        <x:v>Not publicly listed</x:v>
      </x:c>
      <x:c r="N61" s="14" t="str">
        <x:v>Campbell/Sovos ingredient procurement / yogurt R&amp;D</x:v>
      </x:c>
      <x:c r="O61" s="14" t="str">
        <x:v>Premium yogurt, drinkable yogurt, frozen yogurt-style products</x:v>
      </x:c>
      <x:c r="P61" s="14" t="str">
        <x:v>High: vanilla and sweet dairy applications</x:v>
      </x:c>
      <x:c r="Q61" s="14" t="str">
        <x:v>Premium yogurt brand with indulgent flavors; parent procurement may be accessible.</x:v>
      </x:c>
      <x:c r="R61" s="14" t="str">
        <x:v>Medium</x:v>
      </x:c>
      <x:c r="S61" s="14" t="str">
        <x:v>Medium</x:v>
      </x:c>
      <x:c r="T61" s="14" t="str">
        <x:v>Route through brand contact and Campbell procurement network.</x:v>
      </x:c>
      <x:c r="U61" s="14" t="str">
        <x:v>100g beans + spec sheet + COA</x:v>
      </x:c>
      <x:c r="V61" s="14" t="str">
        <x:v>Official contact form + LinkedIn procurement outreach</x:v>
      </x:c>
      <x:c r="W61" s="14" t="str">
        <x:v>https://www.noosayoghurt.com/contact-us/</x:v>
      </x:c>
      <x:c r="X61" s="14" t="str">
        <x:v>Use official contact route; verify details before sending samples.</x:v>
      </x:c>
      <x:c r="Y61" s="14" t="str">
        <x:v>Not Contacted</x:v>
      </x:c>
      <x:c r="Z61" s="14" t="str"/>
      <x:c r="AA61" s="22" t="str">
        <x:v>2026-07-10</x:v>
      </x:c>
    </x:row>
    <x:row r="62" ht="58" customHeight="1">
      <x:c r="A62" s="34" t="n">
        <x:v>61</x:v>
      </x:c>
      <x:c r="B62" s="35" t="str">
        <x:v>B</x:v>
      </x:c>
      <x:c r="C62" s="35" t="n">
        <x:v>79</x:v>
      </x:c>
      <x:c r="D62" s="35" t="str">
        <x:v>Icelandic Provisions</x:v>
      </x:c>
      <x:c r="E62" s="35" t="str">
        <x:v>Premium ice cream, dairy &amp; frozen desserts</x:v>
      </x:c>
      <x:c r="F62" s="35" t="str">
        <x:v>Private / MS Iceland Dairies JV</x:v>
      </x:c>
      <x:c r="G62" s="35" t="str">
        <x:v>New York, USA</x:v>
      </x:c>
      <x:c r="H62" s="35" t="str">
        <x:v>USA</x:v>
      </x:c>
      <x:c r="I62" s="35" t="str">
        <x:v>https://icelandicprovisions.com</x:v>
      </x:c>
      <x:c r="J62" s="35" t="str">
        <x:v>https://icelandicprovisions.com/contact-us</x:v>
      </x:c>
      <x:c r="K62" s="35" t="str">
        <x:v>Contact form only</x:v>
      </x:c>
      <x:c r="L62" s="35" t="str">
        <x:v>Not publicly listed</x:v>
      </x:c>
      <x:c r="M62" s="35" t="str">
        <x:v>Not publicly listed</x:v>
      </x:c>
      <x:c r="N62" s="35" t="str">
        <x:v>Ingredient sourcing / product development</x:v>
      </x:c>
      <x:c r="O62" s="35" t="str">
        <x:v>Skyr, yogurt cups, drinkables</x:v>
      </x:c>
      <x:c r="P62" s="35" t="str">
        <x:v>High: premium vanilla skyr/yogurt</x:v>
      </x:c>
      <x:c r="Q62" s="35" t="str">
        <x:v>Premium brand with clean-label/natural flavor positioning.</x:v>
      </x:c>
      <x:c r="R62" s="35" t="str">
        <x:v>Specialty</x:v>
      </x:c>
      <x:c r="S62" s="35" t="str">
        <x:v>Medium</x:v>
      </x:c>
      <x:c r="T62" s="35" t="str">
        <x:v>Pitch small trial for premium vanilla skyr line.</x:v>
      </x:c>
      <x:c r="U62" s="35" t="str">
        <x:v>100g beans + spec sheet + COA</x:v>
      </x:c>
      <x:c r="V62" s="35" t="str">
        <x:v>Official contact form + LinkedIn procurement outreach</x:v>
      </x:c>
      <x:c r="W62" s="35" t="str">
        <x:v>https://icelandicprovisions.com/contact-us</x:v>
      </x:c>
      <x:c r="X62" s="35" t="str">
        <x:v>Use official contact route; verify details before sending samples.</x:v>
      </x:c>
      <x:c r="Y62" s="35" t="str">
        <x:v>Not Contacted</x:v>
      </x:c>
      <x:c r="Z62" s="35" t="str"/>
      <x:c r="AA62" s="36" t="str">
        <x:v>2026-07-10</x:v>
      </x:c>
    </x:row>
    <x:row r="63" ht="58" customHeight="1">
      <x:c r="A63" s="21" t="n">
        <x:v>62</x:v>
      </x:c>
      <x:c r="B63" s="14" t="str">
        <x:v>B</x:v>
      </x:c>
      <x:c r="C63" s="14" t="n">
        <x:v>79</x:v>
      </x:c>
      <x:c r="D63" s="14" t="str">
        <x:v>Organic Valley</x:v>
      </x:c>
      <x:c r="E63" s="14" t="str">
        <x:v>Premium ice cream, dairy &amp; frozen desserts</x:v>
      </x:c>
      <x:c r="F63" s="14" t="str">
        <x:v>Farmer-owned cooperative</x:v>
      </x:c>
      <x:c r="G63" s="14" t="str">
        <x:v>La Farge, Wisconsin, USA</x:v>
      </x:c>
      <x:c r="H63" s="14" t="str">
        <x:v>USA</x:v>
      </x:c>
      <x:c r="I63" s="14" t="str">
        <x:v>https://www.organicvalley.coop</x:v>
      </x:c>
      <x:c r="J63" s="14" t="str">
        <x:v>https://www.organicvalley.coop/contact-us/</x:v>
      </x:c>
      <x:c r="K63" s="14" t="str">
        <x:v>Contact form only</x:v>
      </x:c>
      <x:c r="L63" s="14" t="str">
        <x:v>Not publicly listed</x:v>
      </x:c>
      <x:c r="M63" s="14" t="str">
        <x:v>Not publicly listed</x:v>
      </x:c>
      <x:c r="N63" s="14" t="str">
        <x:v>Organic ingredient sourcing / product development</x:v>
      </x:c>
      <x:c r="O63" s="14" t="str">
        <x:v>Organic dairy, creamers, butter, milk, eggs</x:v>
      </x:c>
      <x:c r="P63" s="14" t="str">
        <x:v>Medium-high: vanilla for creamers/dairy products if active in flavored lines</x:v>
      </x:c>
      <x:c r="Q63" s="14" t="str">
        <x:v>Large organic co-op; strong values alignment if vanilla is certified/traceable.</x:v>
      </x:c>
      <x:c r="R63" s="14" t="str">
        <x:v>Medium</x:v>
      </x:c>
      <x:c r="S63" s="14" t="str">
        <x:v>Slow</x:v>
      </x:c>
      <x:c r="T63" s="14" t="str">
        <x:v>Lead with organic and responsible sourcing documentation.</x:v>
      </x:c>
      <x:c r="U63" s="14" t="str">
        <x:v>100g beans + spec sheet + COA</x:v>
      </x:c>
      <x:c r="V63" s="14" t="str">
        <x:v>Official contact form + LinkedIn procurement outreach</x:v>
      </x:c>
      <x:c r="W63" s="14" t="str">
        <x:v>https://www.organicvalley.coop/contact-us/</x:v>
      </x:c>
      <x:c r="X63" s="14" t="str">
        <x:v>Use official contact route; verify details before sending samples.</x:v>
      </x:c>
      <x:c r="Y63" s="14" t="str">
        <x:v>Not Contacted</x:v>
      </x:c>
      <x:c r="Z63" s="14" t="str"/>
      <x:c r="AA63" s="22" t="str">
        <x:v>2026-07-10</x:v>
      </x:c>
    </x:row>
    <x:row r="64" ht="58" customHeight="1">
      <x:c r="A64" s="34" t="n">
        <x:v>63</x:v>
      </x:c>
      <x:c r="B64" s="35" t="str">
        <x:v>B</x:v>
      </x:c>
      <x:c r="C64" s="35" t="n">
        <x:v>79</x:v>
      </x:c>
      <x:c r="D64" s="35" t="str">
        <x:v>Clover Sonoma</x:v>
      </x:c>
      <x:c r="E64" s="35" t="str">
        <x:v>Premium ice cream, dairy &amp; frozen desserts</x:v>
      </x:c>
      <x:c r="F64" s="35" t="str">
        <x:v>Family-owned</x:v>
      </x:c>
      <x:c r="G64" s="35" t="str">
        <x:v>Petaluma, California, USA</x:v>
      </x:c>
      <x:c r="H64" s="35" t="str">
        <x:v>USA West Coast</x:v>
      </x:c>
      <x:c r="I64" s="35" t="str">
        <x:v>https://cloversonoma.com</x:v>
      </x:c>
      <x:c r="J64" s="35" t="str">
        <x:v>https://cloversonoma.com/contact-us/</x:v>
      </x:c>
      <x:c r="K64" s="35" t="str">
        <x:v>Contact form only</x:v>
      </x:c>
      <x:c r="L64" s="35" t="str">
        <x:v>Not publicly listed</x:v>
      </x:c>
      <x:c r="M64" s="35" t="str">
        <x:v>Not publicly listed</x:v>
      </x:c>
      <x:c r="N64" s="35" t="str">
        <x:v>Product development / ingredient procurement</x:v>
      </x:c>
      <x:c r="O64" s="35" t="str">
        <x:v>Organic milk, cream, yogurt, ice cream, dairy products</x:v>
      </x:c>
      <x:c r="P64" s="35" t="str">
        <x:v>Medium-high: vanilla for ice cream/yogurt/creamers</x:v>
      </x:c>
      <x:c r="Q64" s="35" t="str">
        <x:v>Premium dairy manufacturer in a regional market; potential fast trial.</x:v>
      </x:c>
      <x:c r="R64" s="35" t="str">
        <x:v>Specialty</x:v>
      </x:c>
      <x:c r="S64" s="35" t="str">
        <x:v>Medium</x:v>
      </x:c>
      <x:c r="T64" s="35" t="str">
        <x:v>Pitch clean-label vanilla for premium dairy applications.</x:v>
      </x:c>
      <x:c r="U64" s="35" t="str">
        <x:v>100g beans + spec sheet + COA</x:v>
      </x:c>
      <x:c r="V64" s="35" t="str">
        <x:v>Official contact form + LinkedIn procurement outreach</x:v>
      </x:c>
      <x:c r="W64" s="35" t="str">
        <x:v>https://cloversonoma.com/contact-us/</x:v>
      </x:c>
      <x:c r="X64" s="35" t="str">
        <x:v>Use official contact route; verify details before sending samples.</x:v>
      </x:c>
      <x:c r="Y64" s="35" t="str">
        <x:v>Not Contacted</x:v>
      </x:c>
      <x:c r="Z64" s="35" t="str"/>
      <x:c r="AA64" s="36" t="str">
        <x:v>2026-07-10</x:v>
      </x:c>
    </x:row>
    <x:row r="65" ht="58" customHeight="1">
      <x:c r="A65" s="21" t="n">
        <x:v>64</x:v>
      </x:c>
      <x:c r="B65" s="14" t="str">
        <x:v>A</x:v>
      </x:c>
      <x:c r="C65" s="14" t="n">
        <x:v>92</x:v>
      </x:c>
      <x:c r="D65" s="14" t="str">
        <x:v>Ellenos Real Greek Yogurt</x:v>
      </x:c>
      <x:c r="E65" s="14" t="str">
        <x:v>Premium ice cream, dairy &amp; frozen desserts</x:v>
      </x:c>
      <x:c r="F65" s="14" t="str">
        <x:v>Private</x:v>
      </x:c>
      <x:c r="G65" s="14" t="str">
        <x:v>Federal Way / Seattle, Washington, USA</x:v>
      </x:c>
      <x:c r="H65" s="14" t="str">
        <x:v>USA</x:v>
      </x:c>
      <x:c r="I65" s="14" t="str">
        <x:v>https://ellenos.com</x:v>
      </x:c>
      <x:c r="J65" s="14" t="str">
        <x:v>https://ellenos.com/contact-us/</x:v>
      </x:c>
      <x:c r="K65" s="14" t="str">
        <x:v>Contact form only</x:v>
      </x:c>
      <x:c r="L65" s="14" t="str">
        <x:v>Not publicly listed</x:v>
      </x:c>
      <x:c r="M65" s="14" t="str">
        <x:v>Not publicly listed</x:v>
      </x:c>
      <x:c r="N65" s="14" t="str">
        <x:v>Ingredient sourcing / product development</x:v>
      </x:c>
      <x:c r="O65" s="14" t="str">
        <x:v>Premium Greek yogurt, retail cups, foodservice</x:v>
      </x:c>
      <x:c r="P65" s="14" t="str">
        <x:v>High: vanilla yogurt and dessert applications</x:v>
      </x:c>
      <x:c r="Q65" s="14" t="str">
        <x:v>Premium yogurt maker with smaller/faster buying possibility.</x:v>
      </x:c>
      <x:c r="R65" s="14" t="str">
        <x:v>Specialty</x:v>
      </x:c>
      <x:c r="S65" s="14" t="str">
        <x:v>Fast</x:v>
      </x:c>
      <x:c r="T65" s="14" t="str">
        <x:v>Pitch a 5–25kg pilot and sensory comparison for vanilla yogurt.</x:v>
      </x:c>
      <x:c r="U65" s="14" t="str">
        <x:v>100g beans + spec sheet + COA</x:v>
      </x:c>
      <x:c r="V65" s="14" t="str">
        <x:v>Official contact form + LinkedIn procurement outreach</x:v>
      </x:c>
      <x:c r="W65" s="14" t="str">
        <x:v>https://ellenos.com/contact-us/</x:v>
      </x:c>
      <x:c r="X65" s="14" t="str">
        <x:v>Use official contact route; verify details before sending samples.</x:v>
      </x:c>
      <x:c r="Y65" s="14" t="str">
        <x:v>Not Contacted</x:v>
      </x:c>
      <x:c r="Z65" s="14" t="str"/>
      <x:c r="AA65" s="22" t="str">
        <x:v>2026-07-10</x:v>
      </x:c>
    </x:row>
    <x:row r="66" ht="58" customHeight="1">
      <x:c r="A66" s="34" t="n">
        <x:v>65</x:v>
      </x:c>
      <x:c r="B66" s="35" t="str">
        <x:v>A</x:v>
      </x:c>
      <x:c r="C66" s="35" t="n">
        <x:v>90</x:v>
      </x:c>
      <x:c r="D66" s="35" t="str">
        <x:v>La Fermière</x:v>
      </x:c>
      <x:c r="E66" s="35" t="str">
        <x:v>Premium ice cream, dairy &amp; frozen desserts</x:v>
      </x:c>
      <x:c r="F66" s="35" t="str">
        <x:v>Family-owned / Groupe Tarpinian</x:v>
      </x:c>
      <x:c r="G66" s="35" t="str">
        <x:v>Aubagne, France</x:v>
      </x:c>
      <x:c r="H66" s="35" t="str">
        <x:v>Europe / USA</x:v>
      </x:c>
      <x:c r="I66" s="35" t="str">
        <x:v>https://lafermiere.us</x:v>
      </x:c>
      <x:c r="J66" s="35" t="str">
        <x:v>https://lafermiere.us/pages/contact-us</x:v>
      </x:c>
      <x:c r="K66" s="35" t="str">
        <x:v>Contact form only</x:v>
      </x:c>
      <x:c r="L66" s="35" t="str">
        <x:v>Not publicly listed</x:v>
      </x:c>
      <x:c r="M66" s="35" t="str">
        <x:v>Not publicly listed</x:v>
      </x:c>
      <x:c r="N66" s="35" t="str">
        <x:v>Product development / ingredient sourcing</x:v>
      </x:c>
      <x:c r="O66" s="35" t="str">
        <x:v>Premium yogurt and desserts in glass/terracotta pots</x:v>
      </x:c>
      <x:c r="P66" s="35" t="str">
        <x:v>High: vanilla and dairy desserts</x:v>
      </x:c>
      <x:c r="Q66" s="35" t="str">
        <x:v>Premium dairy dessert brand where vanilla origin can be part of premium positioning.</x:v>
      </x:c>
      <x:c r="R66" s="35" t="str">
        <x:v>Specialty</x:v>
      </x:c>
      <x:c r="S66" s="35" t="str">
        <x:v>Medium</x:v>
      </x:c>
      <x:c r="T66" s="35" t="str">
        <x:v>Pitch for premium vanilla yogurt/dessert line with EU/US compliant documentation.</x:v>
      </x:c>
      <x:c r="U66" s="35" t="str">
        <x:v>100g beans + spec sheet + COA</x:v>
      </x:c>
      <x:c r="V66" s="35" t="str">
        <x:v>Official contact form + LinkedIn procurement outreach</x:v>
      </x:c>
      <x:c r="W66" s="35" t="str">
        <x:v>https://lafermiere.us/pages/contact-us</x:v>
      </x:c>
      <x:c r="X66" s="35" t="str">
        <x:v>Use official contact route; verify details before sending samples.</x:v>
      </x:c>
      <x:c r="Y66" s="35" t="str">
        <x:v>Not Contacted</x:v>
      </x:c>
      <x:c r="Z66" s="35" t="str"/>
      <x:c r="AA66" s="36" t="str">
        <x:v>2026-07-10</x:v>
      </x:c>
    </x:row>
    <x:row r="67" ht="58" customHeight="1">
      <x:c r="A67" s="21" t="n">
        <x:v>66</x:v>
      </x:c>
      <x:c r="B67" s="14" t="str">
        <x:v>B</x:v>
      </x:c>
      <x:c r="C67" s="14" t="n">
        <x:v>82</x:v>
      </x:c>
      <x:c r="D67" s="14" t="str">
        <x:v>Lotus Bakeries</x:v>
      </x:c>
      <x:c r="E67" s="14" t="str">
        <x:v>Premium bakery, pastry &amp; dessert manufacturers</x:v>
      </x:c>
      <x:c r="F67" s="14" t="str">
        <x:v>Public company</x:v>
      </x:c>
      <x:c r="G67" s="14" t="str">
        <x:v>Lembeke, Belgium</x:v>
      </x:c>
      <x:c r="H67" s="14" t="str">
        <x:v>Global</x:v>
      </x:c>
      <x:c r="I67" s="14" t="str">
        <x:v>https://www.lotusbakeries.com</x:v>
      </x:c>
      <x:c r="J67" s="14" t="str">
        <x:v>https://www.lotusbakeries.com/contact</x:v>
      </x:c>
      <x:c r="K67" s="14" t="str">
        <x:v>Contact form only</x:v>
      </x:c>
      <x:c r="L67" s="14" t="str">
        <x:v>Not publicly listed</x:v>
      </x:c>
      <x:c r="M67" s="14" t="str">
        <x:v>Not publicly listed</x:v>
      </x:c>
      <x:c r="N67" s="14" t="str">
        <x:v>Ingredient procurement / product development</x:v>
      </x:c>
      <x:c r="O67" s="14" t="str">
        <x:v>Biscoff biscuits, spreads, natural snack brands</x:v>
      </x:c>
      <x:c r="P67" s="14" t="str">
        <x:v>Medium-high: vanilla notes in biscuits, spreads and bakery systems</x:v>
      </x:c>
      <x:c r="Q67" s="14" t="str">
        <x:v>Premium/global biscuit manufacturer with large bakery ingredient volume.</x:v>
      </x:c>
      <x:c r="R67" s="14" t="str">
        <x:v>Large</x:v>
      </x:c>
      <x:c r="S67" s="14" t="str">
        <x:v>Slow</x:v>
      </x:c>
      <x:c r="T67" s="14" t="str">
        <x:v>Pitch vanilla as premium natural bakery ingredient; include EU testing.</x:v>
      </x:c>
      <x:c r="U67" s="14" t="str">
        <x:v>100g beans + spec sheet + COA</x:v>
      </x:c>
      <x:c r="V67" s="14" t="str">
        <x:v>Official contact form + LinkedIn procurement outreach</x:v>
      </x:c>
      <x:c r="W67" s="14" t="str">
        <x:v>https://www.lotusbakeries.com/contact</x:v>
      </x:c>
      <x:c r="X67" s="14" t="str">
        <x:v>Use official contact route; verify details before sending samples.</x:v>
      </x:c>
      <x:c r="Y67" s="14" t="str">
        <x:v>Not Contacted</x:v>
      </x:c>
      <x:c r="Z67" s="14" t="str"/>
      <x:c r="AA67" s="22" t="str">
        <x:v>2026-07-10</x:v>
      </x:c>
    </x:row>
    <x:row r="68" ht="58" customHeight="1">
      <x:c r="A68" s="34" t="n">
        <x:v>67</x:v>
      </x:c>
      <x:c r="B68" s="35" t="str">
        <x:v>B</x:v>
      </x:c>
      <x:c r="C68" s="35" t="n">
        <x:v>79</x:v>
      </x:c>
      <x:c r="D68" s="35" t="str">
        <x:v>Tate's Bake Shop</x:v>
      </x:c>
      <x:c r="E68" s="35" t="str">
        <x:v>Premium bakery, pastry &amp; dessert manufacturers</x:v>
      </x:c>
      <x:c r="F68" s="35" t="str">
        <x:v>Mondelēz International</x:v>
      </x:c>
      <x:c r="G68" s="35" t="str">
        <x:v>Southampton, New York, USA</x:v>
      </x:c>
      <x:c r="H68" s="35" t="str">
        <x:v>USA</x:v>
      </x:c>
      <x:c r="I68" s="35" t="str">
        <x:v>https://www.tatesbakeshop.com</x:v>
      </x:c>
      <x:c r="J68" s="35" t="str">
        <x:v>https://www.tatesbakeshop.com/contact-us</x:v>
      </x:c>
      <x:c r="K68" s="35" t="str">
        <x:v>Contact form only</x:v>
      </x:c>
      <x:c r="L68" s="35" t="str">
        <x:v>Not publicly listed</x:v>
      </x:c>
      <x:c r="M68" s="35" t="str">
        <x:v>Not publicly listed</x:v>
      </x:c>
      <x:c r="N68" s="35" t="str">
        <x:v>Mondelēz procurement / Tate's product development</x:v>
      </x:c>
      <x:c r="O68" s="35" t="str">
        <x:v>Premium cookies, baked goods</x:v>
      </x:c>
      <x:c r="P68" s="35" t="str">
        <x:v>Medium-high: vanilla in premium cookies</x:v>
      </x:c>
      <x:c r="Q68" s="35" t="str">
        <x:v>Premium cookie brand with parent-company procurement leverage.</x:v>
      </x:c>
      <x:c r="R68" s="35" t="str">
        <x:v>Medium</x:v>
      </x:c>
      <x:c r="S68" s="35" t="str">
        <x:v>Slow</x:v>
      </x:c>
      <x:c r="T68" s="35" t="str">
        <x:v>Use Mondelēz supplier channel and brand contact; pitch clean-label vanilla for premium cookie lines.</x:v>
      </x:c>
      <x:c r="U68" s="35" t="str">
        <x:v>100g beans + spec sheet + COA</x:v>
      </x:c>
      <x:c r="V68" s="35" t="str">
        <x:v>Mondelēz supplier route + Tate's contact form</x:v>
      </x:c>
      <x:c r="W68" s="35" t="str">
        <x:v>https://www.mondelezinternational.com/procurement/</x:v>
      </x:c>
      <x:c r="X68" s="35" t="str">
        <x:v>Use official contact route; verify details before sending samples.</x:v>
      </x:c>
      <x:c r="Y68" s="35" t="str">
        <x:v>Not Contacted</x:v>
      </x:c>
      <x:c r="Z68" s="35" t="str"/>
      <x:c r="AA68" s="36" t="str">
        <x:v>2026-07-10</x:v>
      </x:c>
    </x:row>
    <x:row r="69" ht="58" customHeight="1">
      <x:c r="A69" s="21" t="n">
        <x:v>68</x:v>
      </x:c>
      <x:c r="B69" s="14" t="str">
        <x:v>B</x:v>
      </x:c>
      <x:c r="C69" s="14" t="n">
        <x:v>82</x:v>
      </x:c>
      <x:c r="D69" s="14" t="str">
        <x:v>Pepperidge Farm</x:v>
      </x:c>
      <x:c r="E69" s="14" t="str">
        <x:v>Premium bakery, pastry &amp; dessert manufacturers</x:v>
      </x:c>
      <x:c r="F69" s="14" t="str">
        <x:v>Campbell Soup Company</x:v>
      </x:c>
      <x:c r="G69" s="14" t="str">
        <x:v>Norwalk, Connecticut, USA</x:v>
      </x:c>
      <x:c r="H69" s="14" t="str">
        <x:v>North America</x:v>
      </x:c>
      <x:c r="I69" s="14" t="str">
        <x:v>https://www.pepperidgefarm.com</x:v>
      </x:c>
      <x:c r="J69" s="14" t="str">
        <x:v>https://www.pepperidgefarm.com/contact-us/</x:v>
      </x:c>
      <x:c r="K69" s="14" t="str">
        <x:v>Contact form only</x:v>
      </x:c>
      <x:c r="L69" s="14" t="str">
        <x:v>Not publicly listed</x:v>
      </x:c>
      <x:c r="M69" s="14" t="str">
        <x:v>Not publicly listed</x:v>
      </x:c>
      <x:c r="N69" s="14" t="str">
        <x:v>Campbell procurement / bakery ingredient sourcing</x:v>
      </x:c>
      <x:c r="O69" s="14" t="str">
        <x:v>Cookies, crackers, breads, pastries, frozen bakery</x:v>
      </x:c>
      <x:c r="P69" s="14" t="str">
        <x:v>Medium-high: vanilla in cookies and sweet bakery</x:v>
      </x:c>
      <x:c r="Q69" s="14" t="str">
        <x:v>Large premium-positioned bakery brand; volume potential significant.</x:v>
      </x:c>
      <x:c r="R69" s="14" t="str">
        <x:v>Large</x:v>
      </x:c>
      <x:c r="S69" s="14" t="str">
        <x:v>Slow</x:v>
      </x:c>
      <x:c r="T69" s="14" t="str">
        <x:v>Target Campbell strategic sourcing and bakery R&amp;D.</x:v>
      </x:c>
      <x:c r="U69" s="14" t="str">
        <x:v>100g beans + spec sheet + COA</x:v>
      </x:c>
      <x:c r="V69" s="14" t="str">
        <x:v>Official contact form + LinkedIn procurement outreach</x:v>
      </x:c>
      <x:c r="W69" s="14" t="str">
        <x:v>https://www.pepperidgefarm.com/contact-us/</x:v>
      </x:c>
      <x:c r="X69" s="14" t="str">
        <x:v>Use official contact route; verify details before sending samples.</x:v>
      </x:c>
      <x:c r="Y69" s="14" t="str">
        <x:v>Not Contacted</x:v>
      </x:c>
      <x:c r="Z69" s="14" t="str"/>
      <x:c r="AA69" s="22" t="str">
        <x:v>2026-07-10</x:v>
      </x:c>
    </x:row>
    <x:row r="70" ht="58" customHeight="1">
      <x:c r="A70" s="34" t="n">
        <x:v>69</x:v>
      </x:c>
      <x:c r="B70" s="35" t="str">
        <x:v>B</x:v>
      </x:c>
      <x:c r="C70" s="35" t="n">
        <x:v>82</x:v>
      </x:c>
      <x:c r="D70" s="35" t="str">
        <x:v>Walkers Shortbread</x:v>
      </x:c>
      <x:c r="E70" s="35" t="str">
        <x:v>Premium bakery, pastry &amp; dessert manufacturers</x:v>
      </x:c>
      <x:c r="F70" s="35" t="str">
        <x:v>Family-owned</x:v>
      </x:c>
      <x:c r="G70" s="35" t="str">
        <x:v>Aberlour, Scotland</x:v>
      </x:c>
      <x:c r="H70" s="35" t="str">
        <x:v>UK / USA / global</x:v>
      </x:c>
      <x:c r="I70" s="35" t="str">
        <x:v>https://www.walkersshortbread.com</x:v>
      </x:c>
      <x:c r="J70" s="35" t="str">
        <x:v>https://www.walkersshortbread.com/contact-us/</x:v>
      </x:c>
      <x:c r="K70" s="35" t="str">
        <x:v>Contact form only</x:v>
      </x:c>
      <x:c r="L70" s="35" t="str">
        <x:v>Not publicly listed</x:v>
      </x:c>
      <x:c r="M70" s="35" t="str">
        <x:v>Not publicly listed</x:v>
      </x:c>
      <x:c r="N70" s="35" t="str">
        <x:v>Ingredient procurement / product development</x:v>
      </x:c>
      <x:c r="O70" s="35" t="str">
        <x:v>Shortbread, cookies, biscuits, seasonal tins</x:v>
      </x:c>
      <x:c r="P70" s="35" t="str">
        <x:v>Medium: vanilla in cookies/biscuits and seasonal products</x:v>
      </x:c>
      <x:c r="Q70" s="35" t="str">
        <x:v>Premium cookie/biscuit manufacturer with export markets.</x:v>
      </x:c>
      <x:c r="R70" s="35" t="str">
        <x:v>Medium</x:v>
      </x:c>
      <x:c r="S70" s="35" t="str">
        <x:v>Medium</x:v>
      </x:c>
      <x:c r="T70" s="35" t="str">
        <x:v>Pitch vanilla for premium/butter biscuit lines and seasonal collections.</x:v>
      </x:c>
      <x:c r="U70" s="35" t="str">
        <x:v>100g beans + spec sheet + COA</x:v>
      </x:c>
      <x:c r="V70" s="35" t="str">
        <x:v>Official contact form + LinkedIn procurement outreach</x:v>
      </x:c>
      <x:c r="W70" s="35" t="str">
        <x:v>https://www.walkersshortbread.com/contact-us/</x:v>
      </x:c>
      <x:c r="X70" s="35" t="str">
        <x:v>Use official contact route; verify details before sending samples.</x:v>
      </x:c>
      <x:c r="Y70" s="35" t="str">
        <x:v>Not Contacted</x:v>
      </x:c>
      <x:c r="Z70" s="35" t="str"/>
      <x:c r="AA70" s="36" t="str">
        <x:v>2026-07-10</x:v>
      </x:c>
    </x:row>
    <x:row r="71" ht="58" customHeight="1">
      <x:c r="A71" s="21" t="n">
        <x:v>70</x:v>
      </x:c>
      <x:c r="B71" s="14" t="str">
        <x:v>B</x:v>
      </x:c>
      <x:c r="C71" s="14" t="n">
        <x:v>82</x:v>
      </x:c>
      <x:c r="D71" s="14" t="str">
        <x:v>Bahlsen</x:v>
      </x:c>
      <x:c r="E71" s="14" t="str">
        <x:v>Premium bakery, pastry &amp; dessert manufacturers</x:v>
      </x:c>
      <x:c r="F71" s="14" t="str">
        <x:v>Family-owned</x:v>
      </x:c>
      <x:c r="G71" s="14" t="str">
        <x:v>Hanover, Germany</x:v>
      </x:c>
      <x:c r="H71" s="14" t="str">
        <x:v>Europe / global</x:v>
      </x:c>
      <x:c r="I71" s="14" t="str">
        <x:v>https://www.bahlsen.com</x:v>
      </x:c>
      <x:c r="J71" s="14" t="str">
        <x:v>https://www.bahlsen.com/en/contact/</x:v>
      </x:c>
      <x:c r="K71" s="14" t="str">
        <x:v>Contact form only</x:v>
      </x:c>
      <x:c r="L71" s="14" t="str">
        <x:v>Not publicly listed</x:v>
      </x:c>
      <x:c r="M71" s="14" t="str">
        <x:v>Not publicly listed</x:v>
      </x:c>
      <x:c r="N71" s="14" t="str">
        <x:v>Raw material purchasing / product development</x:v>
      </x:c>
      <x:c r="O71" s="14" t="str">
        <x:v>Premium biscuits, wafers, cakes and cookies</x:v>
      </x:c>
      <x:c r="P71" s="14" t="str">
        <x:v>Medium-high: vanilla in biscuits, wafers and fillings</x:v>
      </x:c>
      <x:c r="Q71" s="14" t="str">
        <x:v>Large European premium biscuit maker with established procurement.</x:v>
      </x:c>
      <x:c r="R71" s="14" t="str">
        <x:v>Large</x:v>
      </x:c>
      <x:c r="S71" s="14" t="str">
        <x:v>Slow</x:v>
      </x:c>
      <x:c r="T71" s="14" t="str">
        <x:v>Lead with EU-ready documents and a bakery application sample.</x:v>
      </x:c>
      <x:c r="U71" s="14" t="str">
        <x:v>100g beans + spec sheet + COA</x:v>
      </x:c>
      <x:c r="V71" s="14" t="str">
        <x:v>Official contact form + LinkedIn procurement outreach</x:v>
      </x:c>
      <x:c r="W71" s="14" t="str">
        <x:v>https://www.bahlsen.com/en/contact/</x:v>
      </x:c>
      <x:c r="X71" s="14" t="str">
        <x:v>Use official contact route; verify details before sending samples.</x:v>
      </x:c>
      <x:c r="Y71" s="14" t="str">
        <x:v>Not Contacted</x:v>
      </x:c>
      <x:c r="Z71" s="14" t="str"/>
      <x:c r="AA71" s="22" t="str">
        <x:v>2026-07-10</x:v>
      </x:c>
    </x:row>
    <x:row r="72" ht="58" customHeight="1">
      <x:c r="A72" s="34" t="n">
        <x:v>71</x:v>
      </x:c>
      <x:c r="B72" s="35" t="str">
        <x:v>A</x:v>
      </x:c>
      <x:c r="C72" s="35" t="n">
        <x:v>93</x:v>
      </x:c>
      <x:c r="D72" s="35" t="str">
        <x:v>St Michel Biscuits</x:v>
      </x:c>
      <x:c r="E72" s="35" t="str">
        <x:v>Premium bakery, pastry &amp; dessert manufacturers</x:v>
      </x:c>
      <x:c r="F72" s="35" t="str">
        <x:v>St Michel Groupe</x:v>
      </x:c>
      <x:c r="G72" s="35" t="str">
        <x:v>Contres, France</x:v>
      </x:c>
      <x:c r="H72" s="35" t="str">
        <x:v>Europe / global</x:v>
      </x:c>
      <x:c r="I72" s="35" t="str">
        <x:v>https://www.stmichel.com</x:v>
      </x:c>
      <x:c r="J72" s="35" t="str">
        <x:v>https://www.stmichel.com/en/contact</x:v>
      </x:c>
      <x:c r="K72" s="35" t="str">
        <x:v>Contact form only</x:v>
      </x:c>
      <x:c r="L72" s="35" t="str">
        <x:v>Not publicly listed</x:v>
      </x:c>
      <x:c r="M72" s="35" t="str">
        <x:v>Not publicly listed</x:v>
      </x:c>
      <x:c r="N72" s="35" t="str">
        <x:v>Raw material purchasing / R&amp;D</x:v>
      </x:c>
      <x:c r="O72" s="35" t="str">
        <x:v>Madeleines, biscuits, cakes and bakery snacks</x:v>
      </x:c>
      <x:c r="P72" s="35" t="str">
        <x:v>High: vanilla in madeleines and French bakery products</x:v>
      </x:c>
      <x:c r="Q72" s="35" t="str">
        <x:v>French premium bakery brand with vanilla-friendly applications.</x:v>
      </x:c>
      <x:c r="R72" s="35" t="str">
        <x:v>Medium</x:v>
      </x:c>
      <x:c r="S72" s="35" t="str">
        <x:v>Medium</x:v>
      </x:c>
      <x:c r="T72" s="35" t="str">
        <x:v>Pitch for madeleines, cakes and premium biscuits with French/EU compliance package.</x:v>
      </x:c>
      <x:c r="U72" s="35" t="str">
        <x:v>100g beans + spec sheet + COA</x:v>
      </x:c>
      <x:c r="V72" s="35" t="str">
        <x:v>Official contact form + LinkedIn procurement outreach</x:v>
      </x:c>
      <x:c r="W72" s="35" t="str">
        <x:v>https://www.stmichel.com/en/contact</x:v>
      </x:c>
      <x:c r="X72" s="35" t="str">
        <x:v>Use official contact route; verify details before sending samples.</x:v>
      </x:c>
      <x:c r="Y72" s="35" t="str">
        <x:v>Not Contacted</x:v>
      </x:c>
      <x:c r="Z72" s="35" t="str"/>
      <x:c r="AA72" s="36" t="str">
        <x:v>2026-07-10</x:v>
      </x:c>
    </x:row>
    <x:row r="73" ht="58" customHeight="1">
      <x:c r="A73" s="21" t="n">
        <x:v>72</x:v>
      </x:c>
      <x:c r="B73" s="14" t="str">
        <x:v>B</x:v>
      </x:c>
      <x:c r="C73" s="14" t="n">
        <x:v>79</x:v>
      </x:c>
      <x:c r="D73" s="14" t="str">
        <x:v>Bonne Maman / Andros</x:v>
      </x:c>
      <x:c r="E73" s="14" t="str">
        <x:v>Premium bakery, pastry &amp; dessert manufacturers</x:v>
      </x:c>
      <x:c r="F73" s="14" t="str">
        <x:v>Andros Group</x:v>
      </x:c>
      <x:c r="G73" s="14" t="str">
        <x:v>Biars-sur-Cère, France</x:v>
      </x:c>
      <x:c r="H73" s="14" t="str">
        <x:v>Europe / USA / global</x:v>
      </x:c>
      <x:c r="I73" s="14" t="str">
        <x:v>https://www.bonnemaman.us</x:v>
      </x:c>
      <x:c r="J73" s="14" t="str">
        <x:v>https://www.bonnemaman.us/contact-us</x:v>
      </x:c>
      <x:c r="K73" s="14" t="str">
        <x:v>Contact form only</x:v>
      </x:c>
      <x:c r="L73" s="14" t="str">
        <x:v>Not publicly listed</x:v>
      </x:c>
      <x:c r="M73" s="14" t="str">
        <x:v>Not publicly listed</x:v>
      </x:c>
      <x:c r="N73" s="14" t="str">
        <x:v>Andros procurement / dessert and bakery sourcing</x:v>
      </x:c>
      <x:c r="O73" s="14" t="str">
        <x:v>Jams, spreads, desserts, cookies, yogurt/dairy desserts</x:v>
      </x:c>
      <x:c r="P73" s="14" t="str">
        <x:v>Medium-high: vanilla in desserts, spreads, bakery and dairy desserts</x:v>
      </x:c>
      <x:c r="Q73" s="14" t="str">
        <x:v>Premium grocery brand with multiple vanilla-compatible products.</x:v>
      </x:c>
      <x:c r="R73" s="14" t="str">
        <x:v>Medium</x:v>
      </x:c>
      <x:c r="S73" s="14" t="str">
        <x:v>Slow</x:v>
      </x:c>
      <x:c r="T73" s="14" t="str">
        <x:v>Contact Andros/Bonne Maman sourcing; pitch premium vanilla for desserts and bakery.</x:v>
      </x:c>
      <x:c r="U73" s="14" t="str">
        <x:v>100g beans + spec sheet + COA</x:v>
      </x:c>
      <x:c r="V73" s="14" t="str">
        <x:v>Official contact form + LinkedIn procurement outreach</x:v>
      </x:c>
      <x:c r="W73" s="14" t="str">
        <x:v>https://www.bonnemaman.us/contact-us</x:v>
      </x:c>
      <x:c r="X73" s="14" t="str">
        <x:v>Use official contact route; verify details before sending samples.</x:v>
      </x:c>
      <x:c r="Y73" s="14" t="str">
        <x:v>Not Contacted</x:v>
      </x:c>
      <x:c r="Z73" s="14" t="str"/>
      <x:c r="AA73" s="22" t="str">
        <x:v>2026-07-10</x:v>
      </x:c>
    </x:row>
    <x:row r="74" ht="58" customHeight="1">
      <x:c r="A74" s="34" t="n">
        <x:v>73</x:v>
      </x:c>
      <x:c r="B74" s="35" t="str">
        <x:v>B</x:v>
      </x:c>
      <x:c r="C74" s="35" t="n">
        <x:v>79</x:v>
      </x:c>
      <x:c r="D74" s="35" t="str">
        <x:v>Michel et Augustin</x:v>
      </x:c>
      <x:c r="E74" s="35" t="str">
        <x:v>Premium bakery, pastry &amp; dessert manufacturers</x:v>
      </x:c>
      <x:c r="F74" s="35" t="str">
        <x:v>Private / former Danone brand lineage</x:v>
      </x:c>
      <x:c r="G74" s="35" t="str">
        <x:v>Paris, France</x:v>
      </x:c>
      <x:c r="H74" s="35" t="str">
        <x:v>Europe</x:v>
      </x:c>
      <x:c r="I74" s="35" t="str">
        <x:v>https://www.micheletaugustin.com</x:v>
      </x:c>
      <x:c r="J74" s="35" t="str">
        <x:v>https://www.micheletaugustin.com/en/contact</x:v>
      </x:c>
      <x:c r="K74" s="35" t="str">
        <x:v>Contact form only</x:v>
      </x:c>
      <x:c r="L74" s="35" t="str">
        <x:v>Not publicly listed</x:v>
      </x:c>
      <x:c r="M74" s="35" t="str">
        <x:v>Not publicly listed</x:v>
      </x:c>
      <x:c r="N74" s="35" t="str">
        <x:v>Product development / ingredient sourcing</x:v>
      </x:c>
      <x:c r="O74" s="35" t="str">
        <x:v>Premium cookies, desserts, yogurts, snacks</x:v>
      </x:c>
      <x:c r="P74" s="35" t="str">
        <x:v>High: vanilla in cookies, desserts and dairy products</x:v>
      </x:c>
      <x:c r="Q74" s="35" t="str">
        <x:v>Premium playful French brand with flavor innovation fit.</x:v>
      </x:c>
      <x:c r="R74" s="35" t="str">
        <x:v>Specialty</x:v>
      </x:c>
      <x:c r="S74" s="35" t="str">
        <x:v>Medium</x:v>
      </x:c>
      <x:c r="T74" s="35" t="str">
        <x:v>Pitch a creative Ecuador vanilla story for limited-edition cookies/desserts.</x:v>
      </x:c>
      <x:c r="U74" s="35" t="str">
        <x:v>100g beans + spec sheet + COA</x:v>
      </x:c>
      <x:c r="V74" s="35" t="str">
        <x:v>Official contact form + LinkedIn procurement outreach</x:v>
      </x:c>
      <x:c r="W74" s="35" t="str">
        <x:v>https://www.micheletaugustin.com/en/contact</x:v>
      </x:c>
      <x:c r="X74" s="35" t="str">
        <x:v>Use official contact route; verify details before sending samples.</x:v>
      </x:c>
      <x:c r="Y74" s="35" t="str">
        <x:v>Not Contacted</x:v>
      </x:c>
      <x:c r="Z74" s="35" t="str"/>
      <x:c r="AA74" s="36" t="str">
        <x:v>2026-07-10</x:v>
      </x:c>
    </x:row>
    <x:row r="75" ht="58" customHeight="1">
      <x:c r="A75" s="21" t="n">
        <x:v>74</x:v>
      </x:c>
      <x:c r="B75" s="14" t="str">
        <x:v>C</x:v>
      </x:c>
      <x:c r="C75" s="14" t="n">
        <x:v>69</x:v>
      </x:c>
      <x:c r="D75" s="14" t="str">
        <x:v>La Mère Poulard</x:v>
      </x:c>
      <x:c r="E75" s="14" t="str">
        <x:v>Premium bakery, pastry &amp; dessert manufacturers</x:v>
      </x:c>
      <x:c r="F75" s="14" t="str">
        <x:v>Groupe La Mère Poulard</x:v>
      </x:c>
      <x:c r="G75" s="14" t="str">
        <x:v>Mont-Saint-Michel, France</x:v>
      </x:c>
      <x:c r="H75" s="14" t="str">
        <x:v>Europe / tourism / export</x:v>
      </x:c>
      <x:c r="I75" s="14" t="str">
        <x:v>https://www.lamerepoulard.com</x:v>
      </x:c>
      <x:c r="J75" s="14" t="str">
        <x:v>https://www.lamerepoulard.com/en/contact/</x:v>
      </x:c>
      <x:c r="K75" s="14" t="str">
        <x:v>Contact form only</x:v>
      </x:c>
      <x:c r="L75" s="14" t="str">
        <x:v>Not publicly listed</x:v>
      </x:c>
      <x:c r="M75" s="14" t="str">
        <x:v>Not publicly listed</x:v>
      </x:c>
      <x:c r="N75" s="14" t="str">
        <x:v>Procurement / product development</x:v>
      </x:c>
      <x:c r="O75" s="14" t="str">
        <x:v>Premium biscuits, cookies, desserts and specialty foods</x:v>
      </x:c>
      <x:c r="P75" s="14" t="str">
        <x:v>Medium-high: vanilla in French biscuits and desserts</x:v>
      </x:c>
      <x:c r="Q75" s="14" t="str">
        <x:v>Premium heritage brand; small/medium volume, strong story fit.</x:v>
      </x:c>
      <x:c r="R75" s="14" t="str">
        <x:v>Specialty</x:v>
      </x:c>
      <x:c r="S75" s="14" t="str">
        <x:v>Medium</x:v>
      </x:c>
      <x:c r="T75" s="14" t="str">
        <x:v>Pitch as rare-origin vanilla for heritage butter biscuits.</x:v>
      </x:c>
      <x:c r="U75" s="14" t="str">
        <x:v>100g beans + spec sheet + COA</x:v>
      </x:c>
      <x:c r="V75" s="14" t="str">
        <x:v>Official contact form + LinkedIn procurement outreach</x:v>
      </x:c>
      <x:c r="W75" s="14" t="str">
        <x:v>https://www.lamerepoulard.com/en/contact/</x:v>
      </x:c>
      <x:c r="X75" s="14" t="str">
        <x:v>Use official contact route; verify details before sending samples.</x:v>
      </x:c>
      <x:c r="Y75" s="14" t="str">
        <x:v>Not Contacted</x:v>
      </x:c>
      <x:c r="Z75" s="14" t="str"/>
      <x:c r="AA75" s="22" t="str">
        <x:v>2026-07-10</x:v>
      </x:c>
    </x:row>
    <x:row r="76" ht="58" customHeight="1">
      <x:c r="A76" s="34" t="n">
        <x:v>75</x:v>
      </x:c>
      <x:c r="B76" s="35" t="str">
        <x:v>A</x:v>
      </x:c>
      <x:c r="C76" s="35" t="n">
        <x:v>92</x:v>
      </x:c>
      <x:c r="D76" s="35" t="str">
        <x:v>Milk Bar</x:v>
      </x:c>
      <x:c r="E76" s="35" t="str">
        <x:v>Premium bakery, pastry &amp; dessert manufacturers</x:v>
      </x:c>
      <x:c r="F76" s="35" t="str">
        <x:v>Private</x:v>
      </x:c>
      <x:c r="G76" s="35" t="str">
        <x:v>New York, New York, USA</x:v>
      </x:c>
      <x:c r="H76" s="35" t="str">
        <x:v>USA</x:v>
      </x:c>
      <x:c r="I76" s="35" t="str">
        <x:v>https://milkbarstore.com</x:v>
      </x:c>
      <x:c r="J76" s="35" t="str">
        <x:v>https://milkbarstore.com/pages/contact-us</x:v>
      </x:c>
      <x:c r="K76" s="35" t="str">
        <x:v>Contact form only</x:v>
      </x:c>
      <x:c r="L76" s="35" t="str">
        <x:v>Not publicly listed</x:v>
      </x:c>
      <x:c r="M76" s="35" t="str">
        <x:v>Not publicly listed</x:v>
      </x:c>
      <x:c r="N76" s="35" t="str">
        <x:v>Culinary/R&amp;D sourcing</x:v>
      </x:c>
      <x:c r="O76" s="35" t="str">
        <x:v>Premium cakes, cookies, pies, ice cream, baking mixes</x:v>
      </x:c>
      <x:c r="P76" s="35" t="str">
        <x:v>High: vanilla in cakes, frosting, ice cream and bakery products</x:v>
      </x:c>
      <x:c r="Q76" s="35" t="str">
        <x:v>Flavor-forward premium dessert brand; quick specialty trial possible.</x:v>
      </x:c>
      <x:c r="R76" s="35" t="str">
        <x:v>Specialty</x:v>
      </x:c>
      <x:c r="S76" s="35" t="str">
        <x:v>Fast</x:v>
      </x:c>
      <x:c r="T76" s="35" t="str">
        <x:v>Pitch Ecuador vanilla for frosting/cake/ice cream applications; send chef-focused sample.</x:v>
      </x:c>
      <x:c r="U76" s="35" t="str">
        <x:v>100g beans + spec sheet + COA</x:v>
      </x:c>
      <x:c r="V76" s="35" t="str">
        <x:v>Official contact form + LinkedIn procurement outreach</x:v>
      </x:c>
      <x:c r="W76" s="35" t="str">
        <x:v>https://milkbarstore.com/pages/contact-us</x:v>
      </x:c>
      <x:c r="X76" s="35" t="str">
        <x:v>Use official contact route; verify details before sending samples.</x:v>
      </x:c>
      <x:c r="Y76" s="35" t="str">
        <x:v>Not Contacted</x:v>
      </x:c>
      <x:c r="Z76" s="35" t="str"/>
      <x:c r="AA76" s="36" t="str">
        <x:v>2026-07-10</x:v>
      </x:c>
    </x:row>
    <x:row r="77" ht="58" customHeight="1">
      <x:c r="A77" s="21" t="n">
        <x:v>76</x:v>
      </x:c>
      <x:c r="B77" s="14" t="str">
        <x:v>A</x:v>
      </x:c>
      <x:c r="C77" s="14" t="n">
        <x:v>92</x:v>
      </x:c>
      <x:c r="D77" s="14" t="str">
        <x:v>Magnolia Bakery</x:v>
      </x:c>
      <x:c r="E77" s="14" t="str">
        <x:v>Premium bakery, pastry &amp; dessert manufacturers</x:v>
      </x:c>
      <x:c r="F77" s="14" t="str">
        <x:v>Private</x:v>
      </x:c>
      <x:c r="G77" s="14" t="str">
        <x:v>New York, New York, USA</x:v>
      </x:c>
      <x:c r="H77" s="14" t="str">
        <x:v>USA / international franchises</x:v>
      </x:c>
      <x:c r="I77" s="14" t="str">
        <x:v>https://www.magnoliabakery.com</x:v>
      </x:c>
      <x:c r="J77" s="14" t="str">
        <x:v>https://www.magnoliabakery.com/pages/contact-us</x:v>
      </x:c>
      <x:c r="K77" s="14" t="str">
        <x:v>Contact form only</x:v>
      </x:c>
      <x:c r="L77" s="14" t="str">
        <x:v>Not publicly listed</x:v>
      </x:c>
      <x:c r="M77" s="14" t="str">
        <x:v>Not publicly listed</x:v>
      </x:c>
      <x:c r="N77" s="14" t="str">
        <x:v>Commissary sourcing / product development</x:v>
      </x:c>
      <x:c r="O77" s="14" t="str">
        <x:v>Cupcakes, banana pudding, cakes, cookies</x:v>
      </x:c>
      <x:c r="P77" s="14" t="str">
        <x:v>Very high: vanilla bakery and pudding applications</x:v>
      </x:c>
      <x:c r="Q77" s="14" t="str">
        <x:v>Premium dessert brand where vanilla quality is directly perceptible.</x:v>
      </x:c>
      <x:c r="R77" s="14" t="str">
        <x:v>Specialty</x:v>
      </x:c>
      <x:c r="S77" s="14" t="str">
        <x:v>Fast</x:v>
      </x:c>
      <x:c r="T77" s="14" t="str">
        <x:v>Pitch for banana pudding, vanilla frosting and retail baking products.</x:v>
      </x:c>
      <x:c r="U77" s="14" t="str">
        <x:v>100g beans + spec sheet + COA</x:v>
      </x:c>
      <x:c r="V77" s="14" t="str">
        <x:v>Official contact form + LinkedIn procurement outreach</x:v>
      </x:c>
      <x:c r="W77" s="14" t="str">
        <x:v>https://www.magnoliabakery.com/pages/contact-us</x:v>
      </x:c>
      <x:c r="X77" s="14" t="str">
        <x:v>Use official contact route; verify details before sending samples.</x:v>
      </x:c>
      <x:c r="Y77" s="14" t="str">
        <x:v>Not Contacted</x:v>
      </x:c>
      <x:c r="Z77" s="14" t="str"/>
      <x:c r="AA77" s="22" t="str">
        <x:v>2026-07-10</x:v>
      </x:c>
    </x:row>
    <x:row r="78" ht="58" customHeight="1">
      <x:c r="A78" s="34" t="n">
        <x:v>77</x:v>
      </x:c>
      <x:c r="B78" s="35" t="str">
        <x:v>A</x:v>
      </x:c>
      <x:c r="C78" s="35" t="n">
        <x:v>92</x:v>
      </x:c>
      <x:c r="D78" s="35" t="str">
        <x:v>Levain Bakery</x:v>
      </x:c>
      <x:c r="E78" s="35" t="str">
        <x:v>Premium bakery, pastry &amp; dessert manufacturers</x:v>
      </x:c>
      <x:c r="F78" s="35" t="str">
        <x:v>Private</x:v>
      </x:c>
      <x:c r="G78" s="35" t="str">
        <x:v>New York, New York, USA</x:v>
      </x:c>
      <x:c r="H78" s="35" t="str">
        <x:v>USA / ecommerce</x:v>
      </x:c>
      <x:c r="I78" s="35" t="str">
        <x:v>https://levainbakery.com</x:v>
      </x:c>
      <x:c r="J78" s="35" t="str">
        <x:v>https://levainbakery.com/pages/contact-us</x:v>
      </x:c>
      <x:c r="K78" s="35" t="str">
        <x:v>Contact form only</x:v>
      </x:c>
      <x:c r="L78" s="35" t="str">
        <x:v>Not publicly listed</x:v>
      </x:c>
      <x:c r="M78" s="35" t="str">
        <x:v>Not publicly listed</x:v>
      </x:c>
      <x:c r="N78" s="35" t="str">
        <x:v>Ingredient sourcing / bakery operations</x:v>
      </x:c>
      <x:c r="O78" s="35" t="str">
        <x:v>Premium cookies, pastries, seasonal baked goods</x:v>
      </x:c>
      <x:c r="P78" s="35" t="str">
        <x:v>Medium-high: vanilla in cookie dough and bakery applications</x:v>
      </x:c>
      <x:c r="Q78" s="35" t="str">
        <x:v>Premium bakery with high brand equity; small but fast target.</x:v>
      </x:c>
      <x:c r="R78" s="35" t="str">
        <x:v>Specialty</x:v>
      </x:c>
      <x:c r="S78" s="35" t="str">
        <x:v>Fast</x:v>
      </x:c>
      <x:c r="T78" s="35" t="str">
        <x:v>Pitch high-aroma vanilla for premium cookie products and limited batch.</x:v>
      </x:c>
      <x:c r="U78" s="35" t="str">
        <x:v>100g beans + spec sheet + COA</x:v>
      </x:c>
      <x:c r="V78" s="35" t="str">
        <x:v>Official contact form + LinkedIn procurement outreach</x:v>
      </x:c>
      <x:c r="W78" s="35" t="str">
        <x:v>https://levainbakery.com/pages/contact-us</x:v>
      </x:c>
      <x:c r="X78" s="35" t="str">
        <x:v>Use official contact route; verify details before sending samples.</x:v>
      </x:c>
      <x:c r="Y78" s="35" t="str">
        <x:v>Not Contacted</x:v>
      </x:c>
      <x:c r="Z78" s="35" t="str"/>
      <x:c r="AA78" s="36" t="str">
        <x:v>2026-07-10</x:v>
      </x:c>
    </x:row>
    <x:row r="79" ht="58" customHeight="1">
      <x:c r="A79" s="21" t="n">
        <x:v>78</x:v>
      </x:c>
      <x:c r="B79" s="14" t="str">
        <x:v>B</x:v>
      </x:c>
      <x:c r="C79" s="14" t="n">
        <x:v>82</x:v>
      </x:c>
      <x:c r="D79" s="14" t="str">
        <x:v>Cheryl's Cookies</x:v>
      </x:c>
      <x:c r="E79" s="14" t="str">
        <x:v>Premium bakery, pastry &amp; dessert manufacturers</x:v>
      </x:c>
      <x:c r="F79" s="14" t="str">
        <x:v>1-800-Flowers.com, Inc.</x:v>
      </x:c>
      <x:c r="G79" s="14" t="str">
        <x:v>Westerville, Ohio, USA</x:v>
      </x:c>
      <x:c r="H79" s="14" t="str">
        <x:v>USA</x:v>
      </x:c>
      <x:c r="I79" s="14" t="str">
        <x:v>https://www.cheryls.com</x:v>
      </x:c>
      <x:c r="J79" s="14" t="str">
        <x:v>https://www.cheryls.com/customer-service</x:v>
      </x:c>
      <x:c r="K79" s="14" t="str">
        <x:v>Contact form only</x:v>
      </x:c>
      <x:c r="L79" s="14" t="str">
        <x:v>Not publicly listed</x:v>
      </x:c>
      <x:c r="M79" s="14" t="str">
        <x:v>Not publicly listed</x:v>
      </x:c>
      <x:c r="N79" s="14" t="str">
        <x:v>Ingredient sourcing / bakery procurement</x:v>
      </x:c>
      <x:c r="O79" s="14" t="str">
        <x:v>Cookies, brownies, buttercream-frosted cookies, gifting</x:v>
      </x:c>
      <x:c r="P79" s="14" t="str">
        <x:v>High: vanilla frosting, cookies and brownie applications</x:v>
      </x:c>
      <x:c r="Q79" s="14" t="str">
        <x:v>Premium gifting cookie manufacturer; seasonal production may create ingredient needs.</x:v>
      </x:c>
      <x:c r="R79" s="14" t="str">
        <x:v>Medium</x:v>
      </x:c>
      <x:c r="S79" s="14" t="str">
        <x:v>Medium</x:v>
      </x:c>
      <x:c r="T79" s="14" t="str">
        <x:v>Target bakery procurement and seasonal product development.</x:v>
      </x:c>
      <x:c r="U79" s="14" t="str">
        <x:v>100g beans + spec sheet + COA</x:v>
      </x:c>
      <x:c r="V79" s="14" t="str">
        <x:v>Official contact form + LinkedIn procurement outreach</x:v>
      </x:c>
      <x:c r="W79" s="14" t="str">
        <x:v>https://www.cheryls.com/customer-service</x:v>
      </x:c>
      <x:c r="X79" s="14" t="str">
        <x:v>Use official contact route; verify details before sending samples.</x:v>
      </x:c>
      <x:c r="Y79" s="14" t="str">
        <x:v>Not Contacted</x:v>
      </x:c>
      <x:c r="Z79" s="14" t="str"/>
      <x:c r="AA79" s="22" t="str">
        <x:v>2026-07-10</x:v>
      </x:c>
    </x:row>
    <x:row r="80" ht="58" customHeight="1">
      <x:c r="A80" s="34" t="n">
        <x:v>79</x:v>
      </x:c>
      <x:c r="B80" s="35" t="str">
        <x:v>B</x:v>
      </x:c>
      <x:c r="C80" s="35" t="n">
        <x:v>82</x:v>
      </x:c>
      <x:c r="D80" s="35" t="str">
        <x:v>Mrs. Fields</x:v>
      </x:c>
      <x:c r="E80" s="35" t="str">
        <x:v>Premium bakery, pastry &amp; dessert manufacturers</x:v>
      </x:c>
      <x:c r="F80" s="35" t="str">
        <x:v>Private / franchised brand</x:v>
      </x:c>
      <x:c r="G80" s="35" t="str">
        <x:v>Broomfield, Colorado, USA</x:v>
      </x:c>
      <x:c r="H80" s="35" t="str">
        <x:v>USA / international</x:v>
      </x:c>
      <x:c r="I80" s="35" t="str">
        <x:v>https://www.mrsfields.com</x:v>
      </x:c>
      <x:c r="J80" s="35" t="str">
        <x:v>https://www.mrsfields.com/customer-service/</x:v>
      </x:c>
      <x:c r="K80" s="35" t="str">
        <x:v>Contact form only</x:v>
      </x:c>
      <x:c r="L80" s="35" t="str">
        <x:v>Not publicly listed</x:v>
      </x:c>
      <x:c r="M80" s="35" t="str">
        <x:v>Not publicly listed</x:v>
      </x:c>
      <x:c r="N80" s="35" t="str">
        <x:v>Ingredient procurement / product development</x:v>
      </x:c>
      <x:c r="O80" s="35" t="str">
        <x:v>Cookies, brownies, cookie cakes, gift baskets</x:v>
      </x:c>
      <x:c r="P80" s="35" t="str">
        <x:v>Medium-high: vanilla in dough and frosting</x:v>
      </x:c>
      <x:c r="Q80" s="35" t="str">
        <x:v>Large cookie/dessert gifting brand; potential medium-volume buyer.</x:v>
      </x:c>
      <x:c r="R80" s="35" t="str">
        <x:v>Medium</x:v>
      </x:c>
      <x:c r="S80" s="35" t="str">
        <x:v>Medium</x:v>
      </x:c>
      <x:c r="T80" s="35" t="str">
        <x:v>Ask customer service to route to procurement/product development.</x:v>
      </x:c>
      <x:c r="U80" s="35" t="str">
        <x:v>100g beans + spec sheet + COA</x:v>
      </x:c>
      <x:c r="V80" s="35" t="str">
        <x:v>Official contact form + LinkedIn procurement outreach</x:v>
      </x:c>
      <x:c r="W80" s="35" t="str">
        <x:v>https://www.mrsfields.com/customer-service/</x:v>
      </x:c>
      <x:c r="X80" s="35" t="str">
        <x:v>Use official contact route; verify details before sending samples.</x:v>
      </x:c>
      <x:c r="Y80" s="35" t="str">
        <x:v>Not Contacted</x:v>
      </x:c>
      <x:c r="Z80" s="35" t="str"/>
      <x:c r="AA80" s="36" t="str">
        <x:v>2026-07-10</x:v>
      </x:c>
    </x:row>
    <x:row r="81" ht="58" customHeight="1">
      <x:c r="A81" s="21" t="n">
        <x:v>80</x:v>
      </x:c>
      <x:c r="B81" s="14" t="str">
        <x:v>A</x:v>
      </x:c>
      <x:c r="C81" s="14" t="n">
        <x:v>92</x:v>
      </x:c>
      <x:c r="D81" s="14" t="str">
        <x:v>Baked by Melissa</x:v>
      </x:c>
      <x:c r="E81" s="14" t="str">
        <x:v>Premium bakery, pastry &amp; dessert manufacturers</x:v>
      </x:c>
      <x:c r="F81" s="14" t="str">
        <x:v>Private</x:v>
      </x:c>
      <x:c r="G81" s="14" t="str">
        <x:v>New York, New York, USA</x:v>
      </x:c>
      <x:c r="H81" s="14" t="str">
        <x:v>USA / ecommerce</x:v>
      </x:c>
      <x:c r="I81" s="14" t="str">
        <x:v>https://www.bakedbymelissa.com</x:v>
      </x:c>
      <x:c r="J81" s="14" t="str">
        <x:v>https://www.bakedbymelissa.com/contact-us.html</x:v>
      </x:c>
      <x:c r="K81" s="14" t="str">
        <x:v>Contact form only</x:v>
      </x:c>
      <x:c r="L81" s="14" t="str">
        <x:v>Not publicly listed</x:v>
      </x:c>
      <x:c r="M81" s="14" t="str">
        <x:v>Not publicly listed</x:v>
      </x:c>
      <x:c r="N81" s="14" t="str">
        <x:v>Bakery operations / product development</x:v>
      </x:c>
      <x:c r="O81" s="14" t="str">
        <x:v>Mini cupcakes, macarons, gifting desserts</x:v>
      </x:c>
      <x:c r="P81" s="14" t="str">
        <x:v>High: vanilla in cake, frosting and seasonal desserts</x:v>
      </x:c>
      <x:c r="Q81" s="14" t="str">
        <x:v>Premium dessert gifting brand; small but fast potential.</x:v>
      </x:c>
      <x:c r="R81" s="14" t="str">
        <x:v>Specialty</x:v>
      </x:c>
      <x:c r="S81" s="14" t="str">
        <x:v>Fast</x:v>
      </x:c>
      <x:c r="T81" s="14" t="str">
        <x:v>Pitch a high-quality vanilla frosting/cake pilot with small sample kit.</x:v>
      </x:c>
      <x:c r="U81" s="14" t="str">
        <x:v>100g beans + spec sheet + COA</x:v>
      </x:c>
      <x:c r="V81" s="14" t="str">
        <x:v>Official contact form + LinkedIn procurement outreach</x:v>
      </x:c>
      <x:c r="W81" s="14" t="str">
        <x:v>https://www.bakedbymelissa.com/contact-us.html</x:v>
      </x:c>
      <x:c r="X81" s="14" t="str">
        <x:v>Use official contact route; verify details before sending samples.</x:v>
      </x:c>
      <x:c r="Y81" s="14" t="str">
        <x:v>Not Contacted</x:v>
      </x:c>
      <x:c r="Z81" s="14" t="str"/>
      <x:c r="AA81" s="22" t="str">
        <x:v>2026-07-10</x:v>
      </x:c>
    </x:row>
    <x:row r="82" ht="58" customHeight="1">
      <x:c r="A82" s="34" t="n">
        <x:v>81</x:v>
      </x:c>
      <x:c r="B82" s="35" t="str">
        <x:v>B</x:v>
      </x:c>
      <x:c r="C82" s="35" t="n">
        <x:v>84</x:v>
      </x:c>
      <x:c r="D82" s="35" t="str">
        <x:v>Rich Products</x:v>
      </x:c>
      <x:c r="E82" s="35" t="str">
        <x:v>Premium bakery, pastry &amp; dessert manufacturers</x:v>
      </x:c>
      <x:c r="F82" s="35" t="str">
        <x:v>Family-owned</x:v>
      </x:c>
      <x:c r="G82" s="35" t="str">
        <x:v>Buffalo, New York, USA</x:v>
      </x:c>
      <x:c r="H82" s="35" t="str">
        <x:v>Global</x:v>
      </x:c>
      <x:c r="I82" s="35" t="str">
        <x:v>https://richs.com</x:v>
      </x:c>
      <x:c r="J82" s="35" t="str">
        <x:v>https://richs.com/get-in-touch/</x:v>
      </x:c>
      <x:c r="K82" s="35" t="str">
        <x:v>Contact form only</x:v>
      </x:c>
      <x:c r="L82" s="35" t="str">
        <x:v>Not publicly listed</x:v>
      </x:c>
      <x:c r="M82" s="35" t="str">
        <x:v>Not publicly listed</x:v>
      </x:c>
      <x:c r="N82" s="35" t="str">
        <x:v>Industrial solutions procurement / ingredient sourcing</x:v>
      </x:c>
      <x:c r="O82" s="35" t="str">
        <x:v>Toppings, icings, cakes, bakery products, desserts, foodservice solutions</x:v>
      </x:c>
      <x:c r="P82" s="35" t="str">
        <x:v>High: vanilla in whipped toppings, icings, cakes and desserts</x:v>
      </x:c>
      <x:c r="Q82" s="35" t="str">
        <x:v>Large industrial/foodservice manufacturer; potential high volume but formal.</x:v>
      </x:c>
      <x:c r="R82" s="35" t="str">
        <x:v>Strategic/Large</x:v>
      </x:c>
      <x:c r="S82" s="35" t="str">
        <x:v>Slow</x:v>
      </x:c>
      <x:c r="T82" s="35" t="str">
        <x:v>Target industrial solutions and bakery procurement; submit complete supplier packet.</x:v>
      </x:c>
      <x:c r="U82" s="35" t="str">
        <x:v>100g beans + spec sheet + COA</x:v>
      </x:c>
      <x:c r="V82" s="35" t="str">
        <x:v>Official contact form + LinkedIn procurement outreach</x:v>
      </x:c>
      <x:c r="W82" s="35" t="str">
        <x:v>https://richs.com/get-in-touch/</x:v>
      </x:c>
      <x:c r="X82" s="35" t="str">
        <x:v>Official contact route; SAP Business Network supplier resources exist for active suppliers.</x:v>
      </x:c>
      <x:c r="Y82" s="35" t="str">
        <x:v>Not Contacted</x:v>
      </x:c>
      <x:c r="Z82" s="35" t="str"/>
      <x:c r="AA82" s="36" t="str">
        <x:v>2026-07-10</x:v>
      </x:c>
    </x:row>
    <x:row r="83" ht="58" customHeight="1">
      <x:c r="A83" s="21" t="n">
        <x:v>82</x:v>
      </x:c>
      <x:c r="B83" s="14" t="str">
        <x:v>A</x:v>
      </x:c>
      <x:c r="C83" s="14" t="n">
        <x:v>98</x:v>
      </x:c>
      <x:c r="D83" s="14" t="str">
        <x:v>Dawn Foods</x:v>
      </x:c>
      <x:c r="E83" s="14" t="str">
        <x:v>Premium bakery, pastry &amp; dessert manufacturers</x:v>
      </x:c>
      <x:c r="F83" s="14" t="str">
        <x:v>Family-owned</x:v>
      </x:c>
      <x:c r="G83" s="14" t="str">
        <x:v>Jackson, Michigan, USA</x:v>
      </x:c>
      <x:c r="H83" s="14" t="str">
        <x:v>Global</x:v>
      </x:c>
      <x:c r="I83" s="14" t="str">
        <x:v>https://www.dawnfoods.com</x:v>
      </x:c>
      <x:c r="J83" s="14" t="str">
        <x:v>https://www.dawnfoods.com/contact</x:v>
      </x:c>
      <x:c r="K83" s="14" t="str">
        <x:v>Contact form only</x:v>
      </x:c>
      <x:c r="L83" s="14" t="str">
        <x:v>+1 800 292 1362</x:v>
      </x:c>
      <x:c r="M83" s="14" t="str">
        <x:v>Ahmet Hepdogan, SVP Supply Chain &amp; Procurement North America</x:v>
      </x:c>
      <x:c r="N83" s="14" t="str">
        <x:v>Supply chain &amp; procurement / flavor ingredient sourcing</x:v>
      </x:c>
      <x:c r="O83" s="14" t="str">
        <x:v>Bakery ingredients, mixes, fillings, icings, donuts, pastries</x:v>
      </x:c>
      <x:c r="P83" s="14" t="str">
        <x:v>Very high: vanilla in bakery mixes, icings, fillings and pastry products</x:v>
      </x:c>
      <x:c r="Q83" s="14" t="str">
        <x:v>Bakery ingredient manufacturer/distributor with broad customer reach.</x:v>
      </x:c>
      <x:c r="R83" s="14" t="str">
        <x:v>Strategic/Large</x:v>
      </x:c>
      <x:c r="S83" s="14" t="str">
        <x:v>Medium</x:v>
      </x:c>
      <x:c r="T83" s="14" t="str">
        <x:v>Use contact form; separately target procurement leadership and flavor/raw material buyers.</x:v>
      </x:c>
      <x:c r="U83" s="14" t="str">
        <x:v>100g beans + spec sheet + COA</x:v>
      </x:c>
      <x:c r="V83" s="14" t="str">
        <x:v>Official contact form + LinkedIn procurement outreach</x:v>
      </x:c>
      <x:c r="W83" s="14" t="str">
        <x:v>https://www.dawnfoods.com/about-us/news-press/detail/2024/24/10/dawn-foods-promotes-ahmet-hepdogan-to-senior-vice-president-supply-chain-procurement-for-north-america</x:v>
      </x:c>
      <x:c r="X83" s="14" t="str">
        <x:v>Official news identifies supply chain/procurement leadership; direct procurement email not listed.</x:v>
      </x:c>
      <x:c r="Y83" s="14" t="str">
        <x:v>Not Contacted</x:v>
      </x:c>
      <x:c r="Z83" s="14" t="str"/>
      <x:c r="AA83" s="22" t="str">
        <x:v>2026-07-10</x:v>
      </x:c>
    </x:row>
    <x:row r="84" ht="58" customHeight="1">
      <x:c r="A84" s="34" t="n">
        <x:v>83</x:v>
      </x:c>
      <x:c r="B84" s="35" t="str">
        <x:v>A</x:v>
      </x:c>
      <x:c r="C84" s="35" t="n">
        <x:v>98</x:v>
      </x:c>
      <x:c r="D84" s="35" t="str">
        <x:v>Puratos</x:v>
      </x:c>
      <x:c r="E84" s="35" t="str">
        <x:v>Premium bakery, pastry &amp; dessert manufacturers</x:v>
      </x:c>
      <x:c r="F84" s="35" t="str">
        <x:v>Family-owned</x:v>
      </x:c>
      <x:c r="G84" s="35" t="str">
        <x:v>Groot-Bijgaarden, Belgium</x:v>
      </x:c>
      <x:c r="H84" s="35" t="str">
        <x:v>Global</x:v>
      </x:c>
      <x:c r="I84" s="35" t="str">
        <x:v>https://www.puratos.com</x:v>
      </x:c>
      <x:c r="J84" s="35" t="str">
        <x:v>https://www.puratos.us/en/contact-us</x:v>
      </x:c>
      <x:c r="K84" s="35" t="str">
        <x:v>infous@puratos.com</x:v>
      </x:c>
      <x:c r="L84" s="35" t="str">
        <x:v>+1 856 428 4300 / +32 2 481 44 44</x:v>
      </x:c>
      <x:c r="M84" s="35" t="str">
        <x:v>Not publicly listed</x:v>
      </x:c>
      <x:c r="N84" s="35" t="str">
        <x:v>Bakery/chocolate raw material procurement</x:v>
      </x:c>
      <x:c r="O84" s="35" t="str">
        <x:v>Bakery, patisserie and chocolate ingredients, fillings, mixes, improvers</x:v>
      </x:c>
      <x:c r="P84" s="35" t="str">
        <x:v>Very high: vanilla for patisserie, bakery and chocolate ingredient systems</x:v>
      </x:c>
      <x:c r="Q84" s="35" t="str">
        <x:v>Global bakery/patisserie/chocolate ingredients company; large and directly relevant.</x:v>
      </x:c>
      <x:c r="R84" s="35" t="str">
        <x:v>Strategic/Large</x:v>
      </x:c>
      <x:c r="S84" s="35" t="str">
        <x:v>Medium</x:v>
      </x:c>
      <x:c r="T84" s="35" t="str">
        <x:v>Contact Puratos US/local office; request routing to vanilla/natural flavor procurement.</x:v>
      </x:c>
      <x:c r="U84" s="35" t="str">
        <x:v>100g beans + spec sheet + COA</x:v>
      </x:c>
      <x:c r="V84" s="35" t="str">
        <x:v>Official contact form + LinkedIn procurement outreach</x:v>
      </x:c>
      <x:c r="W84" s="35" t="str">
        <x:v>https://www.puratos.us/en/contact-us</x:v>
      </x:c>
      <x:c r="X84" s="35" t="str">
        <x:v>Official US contact page lists phone and email.</x:v>
      </x:c>
      <x:c r="Y84" s="35" t="str">
        <x:v>Not Contacted</x:v>
      </x:c>
      <x:c r="Z84" s="35" t="str"/>
      <x:c r="AA84" s="36" t="str">
        <x:v>2026-07-10</x:v>
      </x:c>
    </x:row>
    <x:row r="85" ht="58" customHeight="1">
      <x:c r="A85" s="21" t="n">
        <x:v>84</x:v>
      </x:c>
      <x:c r="B85" s="14" t="str">
        <x:v>A</x:v>
      </x:c>
      <x:c r="C85" s="14" t="n">
        <x:v>96</x:v>
      </x:c>
      <x:c r="D85" s="14" t="str">
        <x:v>CSM Ingredients</x:v>
      </x:c>
      <x:c r="E85" s="14" t="str">
        <x:v>Premium bakery, pastry &amp; dessert manufacturers</x:v>
      </x:c>
      <x:c r="F85" s="14" t="str">
        <x:v>Investindustrial</x:v>
      </x:c>
      <x:c r="G85" s="14" t="str">
        <x:v>Luxembourg / Italy</x:v>
      </x:c>
      <x:c r="H85" s="14" t="str">
        <x:v>Europe / global</x:v>
      </x:c>
      <x:c r="I85" s="14" t="str">
        <x:v>https://www.csmingredients.com</x:v>
      </x:c>
      <x:c r="J85" s="14" t="str">
        <x:v>https://www.csmingredients.com/contact</x:v>
      </x:c>
      <x:c r="K85" s="14" t="str">
        <x:v>Contact form only</x:v>
      </x:c>
      <x:c r="L85" s="14" t="str">
        <x:v>Not publicly listed</x:v>
      </x:c>
      <x:c r="M85" s="14" t="str">
        <x:v>Not publicly listed</x:v>
      </x:c>
      <x:c r="N85" s="14" t="str">
        <x:v>Procurement / bakery ingredient R&amp;D</x:v>
      </x:c>
      <x:c r="O85" s="14" t="str">
        <x:v>Bakery ingredients, pastry mixes, icings, fats, fillings</x:v>
      </x:c>
      <x:c r="P85" s="14" t="str">
        <x:v>High: vanilla for fillings, mixes, icings and pastry systems</x:v>
      </x:c>
      <x:c r="Q85" s="14" t="str">
        <x:v>Large bakery ingredients manufacturer with European customer base.</x:v>
      </x:c>
      <x:c r="R85" s="14" t="str">
        <x:v>Large</x:v>
      </x:c>
      <x:c r="S85" s="14" t="str">
        <x:v>Medium</x:v>
      </x:c>
      <x:c r="T85" s="14" t="str">
        <x:v>Lead with EU import-ready packet and price ladder for 25–500kg.</x:v>
      </x:c>
      <x:c r="U85" s="14" t="str">
        <x:v>100g beans + spec sheet + COA</x:v>
      </x:c>
      <x:c r="V85" s="14" t="str">
        <x:v>Official contact form + LinkedIn procurement outreach</x:v>
      </x:c>
      <x:c r="W85" s="14" t="str">
        <x:v>https://www.csmingredients.com/contact</x:v>
      </x:c>
      <x:c r="X85" s="14" t="str">
        <x:v>Use official contact route; verify details before sending samples.</x:v>
      </x:c>
      <x:c r="Y85" s="14" t="str">
        <x:v>Not Contacted</x:v>
      </x:c>
      <x:c r="Z85" s="14" t="str"/>
      <x:c r="AA85" s="22" t="str">
        <x:v>2026-07-10</x:v>
      </x:c>
    </x:row>
    <x:row r="86" ht="58" customHeight="1">
      <x:c r="A86" s="34" t="n">
        <x:v>85</x:v>
      </x:c>
      <x:c r="B86" s="35" t="str">
        <x:v>A</x:v>
      </x:c>
      <x:c r="C86" s="35" t="n">
        <x:v>96</x:v>
      </x:c>
      <x:c r="D86" s="35" t="str">
        <x:v>Europastry</x:v>
      </x:c>
      <x:c r="E86" s="35" t="str">
        <x:v>Premium bakery, pastry &amp; dessert manufacturers</x:v>
      </x:c>
      <x:c r="F86" s="35" t="str">
        <x:v>Private</x:v>
      </x:c>
      <x:c r="G86" s="35" t="str">
        <x:v>Barcelona, Spain</x:v>
      </x:c>
      <x:c r="H86" s="35" t="str">
        <x:v>Europe / USA / global</x:v>
      </x:c>
      <x:c r="I86" s="35" t="str">
        <x:v>https://www.europastry.com</x:v>
      </x:c>
      <x:c r="J86" s="35" t="str">
        <x:v>https://www.europastry.com/en/contact/</x:v>
      </x:c>
      <x:c r="K86" s="35" t="str">
        <x:v>Contact form only</x:v>
      </x:c>
      <x:c r="L86" s="35" t="str">
        <x:v>Not publicly listed</x:v>
      </x:c>
      <x:c r="M86" s="35" t="str">
        <x:v>Not publicly listed</x:v>
      </x:c>
      <x:c r="N86" s="35" t="str">
        <x:v>Ingredient procurement / pastry R&amp;D</x:v>
      </x:c>
      <x:c r="O86" s="35" t="str">
        <x:v>Frozen bakery, pastries, breads, sweet bakery products</x:v>
      </x:c>
      <x:c r="P86" s="35" t="str">
        <x:v>High: vanilla in sweet pastry, cream fillings and bakery formats</x:v>
      </x:c>
      <x:c r="Q86" s="35" t="str">
        <x:v>Large premium frozen bakery manufacturer; volume potential meaningful.</x:v>
      </x:c>
      <x:c r="R86" s="35" t="str">
        <x:v>Large</x:v>
      </x:c>
      <x:c r="S86" s="35" t="str">
        <x:v>Medium</x:v>
      </x:c>
      <x:c r="T86" s="35" t="str">
        <x:v>Spanish/English outreach with EU-ready samples and bakery application notes.</x:v>
      </x:c>
      <x:c r="U86" s="35" t="str">
        <x:v>100g beans + spec sheet + COA</x:v>
      </x:c>
      <x:c r="V86" s="35" t="str">
        <x:v>Official contact form + LinkedIn procurement outreach</x:v>
      </x:c>
      <x:c r="W86" s="35" t="str">
        <x:v>https://www.europastry.com/en/contact/</x:v>
      </x:c>
      <x:c r="X86" s="35" t="str">
        <x:v>Use official contact route; verify details before sending samples.</x:v>
      </x:c>
      <x:c r="Y86" s="35" t="str">
        <x:v>Not Contacted</x:v>
      </x:c>
      <x:c r="Z86" s="35" t="str"/>
      <x:c r="AA86" s="36" t="str">
        <x:v>2026-07-10</x:v>
      </x:c>
    </x:row>
    <x:row r="87" ht="58" customHeight="1">
      <x:c r="A87" s="21" t="n">
        <x:v>86</x:v>
      </x:c>
      <x:c r="B87" s="14" t="str">
        <x:v>A</x:v>
      </x:c>
      <x:c r="C87" s="14" t="n">
        <x:v>93</x:v>
      </x:c>
      <x:c r="D87" s="14" t="str">
        <x:v>Bridor</x:v>
      </x:c>
      <x:c r="E87" s="14" t="str">
        <x:v>Premium bakery, pastry &amp; dessert manufacturers</x:v>
      </x:c>
      <x:c r="F87" s="14" t="str">
        <x:v>Le Duff Group</x:v>
      </x:c>
      <x:c r="G87" s="14" t="str">
        <x:v>Rennes, France</x:v>
      </x:c>
      <x:c r="H87" s="14" t="str">
        <x:v>Europe / North America / Asia</x:v>
      </x:c>
      <x:c r="I87" s="14" t="str">
        <x:v>https://www.bridor.com</x:v>
      </x:c>
      <x:c r="J87" s="14" t="str">
        <x:v>https://www.bridor.com/en/contact/</x:v>
      </x:c>
      <x:c r="K87" s="14" t="str">
        <x:v>Contact form only</x:v>
      </x:c>
      <x:c r="L87" s="14" t="str">
        <x:v>Not publicly listed</x:v>
      </x:c>
      <x:c r="M87" s="14" t="str">
        <x:v>Not publicly listed</x:v>
      </x:c>
      <x:c r="N87" s="14" t="str">
        <x:v>Ingredient procurement / viennoiserie R&amp;D</x:v>
      </x:c>
      <x:c r="O87" s="14" t="str">
        <x:v>Premium frozen breads, croissants, viennoiserie, pastries</x:v>
      </x:c>
      <x:c r="P87" s="14" t="str">
        <x:v>High: vanilla in creams, fillings and sweet pastry applications</x:v>
      </x:c>
      <x:c r="Q87" s="14" t="str">
        <x:v>Premium bakery manufacturer serving foodservice/hospitality worldwide.</x:v>
      </x:c>
      <x:c r="R87" s="14" t="str">
        <x:v>Medium</x:v>
      </x:c>
      <x:c r="S87" s="14" t="str">
        <x:v>Medium</x:v>
      </x:c>
      <x:c r="T87" s="14" t="str">
        <x:v>Pitch vanilla for pastry cream and luxury viennoiserie applications.</x:v>
      </x:c>
      <x:c r="U87" s="14" t="str">
        <x:v>100g beans + spec sheet + COA</x:v>
      </x:c>
      <x:c r="V87" s="14" t="str">
        <x:v>Official contact form + LinkedIn procurement outreach</x:v>
      </x:c>
      <x:c r="W87" s="14" t="str">
        <x:v>https://www.bridor.com/en/contact/</x:v>
      </x:c>
      <x:c r="X87" s="14" t="str">
        <x:v>Use official contact route; verify details before sending samples.</x:v>
      </x:c>
      <x:c r="Y87" s="14" t="str">
        <x:v>Not Contacted</x:v>
      </x:c>
      <x:c r="Z87" s="14" t="str"/>
      <x:c r="AA87" s="22" t="str">
        <x:v>2026-07-10</x:v>
      </x:c>
    </x:row>
    <x:row r="88" ht="58" customHeight="1">
      <x:c r="A88" s="34" t="n">
        <x:v>87</x:v>
      </x:c>
      <x:c r="B88" s="35" t="str">
        <x:v>B</x:v>
      </x:c>
      <x:c r="C88" s="35" t="n">
        <x:v>82</x:v>
      </x:c>
      <x:c r="D88" s="35" t="str">
        <x:v>Brioche Pasquier</x:v>
      </x:c>
      <x:c r="E88" s="35" t="str">
        <x:v>Premium bakery, pastry &amp; dessert manufacturers</x:v>
      </x:c>
      <x:c r="F88" s="35" t="str">
        <x:v>Family-owned</x:v>
      </x:c>
      <x:c r="G88" s="35" t="str">
        <x:v>Les Cerqueux, France</x:v>
      </x:c>
      <x:c r="H88" s="35" t="str">
        <x:v>Europe / USA</x:v>
      </x:c>
      <x:c r="I88" s="35" t="str">
        <x:v>https://www.pasquier.fr</x:v>
      </x:c>
      <x:c r="J88" s="35" t="str">
        <x:v>https://www.pasquier.fr/en/contact</x:v>
      </x:c>
      <x:c r="K88" s="35" t="str">
        <x:v>Contact form only</x:v>
      </x:c>
      <x:c r="L88" s="35" t="str">
        <x:v>Not publicly listed</x:v>
      </x:c>
      <x:c r="M88" s="35" t="str">
        <x:v>Not publicly listed</x:v>
      </x:c>
      <x:c r="N88" s="35" t="str">
        <x:v>Purchasing / sweet bakery R&amp;D</x:v>
      </x:c>
      <x:c r="O88" s="35" t="str">
        <x:v>Brioche, pastries, macarons, desserts and baked snacks</x:v>
      </x:c>
      <x:c r="P88" s="35" t="str">
        <x:v>High: vanilla in brioche, pastry, desserts and fillings</x:v>
      </x:c>
      <x:c r="Q88" s="35" t="str">
        <x:v>Large French sweet bakery manufacturer; vanilla-relevant product portfolio.</x:v>
      </x:c>
      <x:c r="R88" s="35" t="str">
        <x:v>Medium</x:v>
      </x:c>
      <x:c r="S88" s="35" t="str">
        <x:v>Medium</x:v>
      </x:c>
      <x:c r="T88" s="35" t="str">
        <x:v>French/English outreach with EU compliance documents and pastry sensory sample.</x:v>
      </x:c>
      <x:c r="U88" s="35" t="str">
        <x:v>100g beans + spec sheet + COA</x:v>
      </x:c>
      <x:c r="V88" s="35" t="str">
        <x:v>Official contact form + LinkedIn procurement outreach</x:v>
      </x:c>
      <x:c r="W88" s="35" t="str">
        <x:v>https://www.pasquier.fr/en/contact</x:v>
      </x:c>
      <x:c r="X88" s="35" t="str">
        <x:v>Use official contact route; verify details before sending samples.</x:v>
      </x:c>
      <x:c r="Y88" s="35" t="str">
        <x:v>Not Contacted</x:v>
      </x:c>
      <x:c r="Z88" s="35" t="str"/>
      <x:c r="AA88" s="36" t="str">
        <x:v>2026-07-10</x:v>
      </x:c>
    </x:row>
    <x:row r="89" ht="58" customHeight="1">
      <x:c r="A89" s="21" t="n">
        <x:v>88</x:v>
      </x:c>
      <x:c r="B89" s="14" t="str">
        <x:v>B</x:v>
      </x:c>
      <x:c r="C89" s="14" t="n">
        <x:v>85</x:v>
      </x:c>
      <x:c r="D89" s="14" t="str">
        <x:v>La Brea Bakery / Aspire Bakeries</x:v>
      </x:c>
      <x:c r="E89" s="14" t="str">
        <x:v>Premium bakery, pastry &amp; dessert manufacturers</x:v>
      </x:c>
      <x:c r="F89" s="14" t="str">
        <x:v>Aspire Bakeries</x:v>
      </x:c>
      <x:c r="G89" s="14" t="str">
        <x:v>Los Angeles, California / Chicago, USA</x:v>
      </x:c>
      <x:c r="H89" s="14" t="str">
        <x:v>North America</x:v>
      </x:c>
      <x:c r="I89" s="14" t="str">
        <x:v>https://www.aspirebakeries.com</x:v>
      </x:c>
      <x:c r="J89" s="14" t="str">
        <x:v>https://www.aspirebakeries.com/contact-us/</x:v>
      </x:c>
      <x:c r="K89" s="14" t="str">
        <x:v>Contact form only</x:v>
      </x:c>
      <x:c r="L89" s="14" t="str">
        <x:v>Not publicly listed</x:v>
      </x:c>
      <x:c r="M89" s="14" t="str">
        <x:v>Not publicly listed</x:v>
      </x:c>
      <x:c r="N89" s="14" t="str">
        <x:v>Ingredient procurement / bakery R&amp;D</x:v>
      </x:c>
      <x:c r="O89" s="14" t="str">
        <x:v>Artisan breads, sweet baked goods, frozen bakery, private label</x:v>
      </x:c>
      <x:c r="P89" s="14" t="str">
        <x:v>Medium-high: vanilla in sweet bakery and private-label products</x:v>
      </x:c>
      <x:c r="Q89" s="14" t="str">
        <x:v>Large bakery manufacturer/co-manufacturer; can move ingredient volume through clients.</x:v>
      </x:c>
      <x:c r="R89" s="14" t="str">
        <x:v>Large</x:v>
      </x:c>
      <x:c r="S89" s="14" t="str">
        <x:v>Medium</x:v>
      </x:c>
      <x:c r="T89" s="14" t="str">
        <x:v>Target co-manufacturing ingredient sourcing with trial lot and scalable pricing.</x:v>
      </x:c>
      <x:c r="U89" s="14" t="str">
        <x:v>100g beans + spec sheet + COA</x:v>
      </x:c>
      <x:c r="V89" s="14" t="str">
        <x:v>Official contact form + LinkedIn procurement outreach</x:v>
      </x:c>
      <x:c r="W89" s="14" t="str">
        <x:v>https://www.aspirebakeries.com/contact-us/</x:v>
      </x:c>
      <x:c r="X89" s="14" t="str">
        <x:v>Use official contact route; verify details before sending samples.</x:v>
      </x:c>
      <x:c r="Y89" s="14" t="str">
        <x:v>Not Contacted</x:v>
      </x:c>
      <x:c r="Z89" s="14" t="str"/>
      <x:c r="AA89" s="22" t="str">
        <x:v>2026-07-10</x:v>
      </x:c>
    </x:row>
    <x:row r="90" ht="58" customHeight="1">
      <x:c r="A90" s="34" t="n">
        <x:v>89</x:v>
      </x:c>
      <x:c r="B90" s="35" t="str">
        <x:v>B</x:v>
      </x:c>
      <x:c r="C90" s="35" t="n">
        <x:v>82</x:v>
      </x:c>
      <x:c r="D90" s="35" t="str">
        <x:v>ARYZTA</x:v>
      </x:c>
      <x:c r="E90" s="35" t="str">
        <x:v>Premium bakery, pastry &amp; dessert manufacturers</x:v>
      </x:c>
      <x:c r="F90" s="35" t="str">
        <x:v>Public company</x:v>
      </x:c>
      <x:c r="G90" s="35" t="str">
        <x:v>Zurich, Switzerland</x:v>
      </x:c>
      <x:c r="H90" s="35" t="str">
        <x:v>Europe / APAC</x:v>
      </x:c>
      <x:c r="I90" s="35" t="str">
        <x:v>https://www.aryzta.com</x:v>
      </x:c>
      <x:c r="J90" s="35" t="str">
        <x:v>https://www.aryzta.com/contact/</x:v>
      </x:c>
      <x:c r="K90" s="35" t="str">
        <x:v>Contact form only</x:v>
      </x:c>
      <x:c r="L90" s="35" t="str">
        <x:v>Not publicly listed</x:v>
      </x:c>
      <x:c r="M90" s="35" t="str">
        <x:v>Not publicly listed</x:v>
      </x:c>
      <x:c r="N90" s="35" t="str">
        <x:v>Group procurement / sweet bakery ingredient sourcing</x:v>
      </x:c>
      <x:c r="O90" s="35" t="str">
        <x:v>Frozen bakery, pastries, breads, foodservice bakery products</x:v>
      </x:c>
      <x:c r="P90" s="35" t="str">
        <x:v>Medium-high: vanilla in sweet bakery, pastries and dessert components</x:v>
      </x:c>
      <x:c r="Q90" s="35" t="str">
        <x:v>Large international bakery manufacturer; strategic volume potential.</x:v>
      </x:c>
      <x:c r="R90" s="35" t="str">
        <x:v>Large</x:v>
      </x:c>
      <x:c r="S90" s="35" t="str">
        <x:v>Slow</x:v>
      </x:c>
      <x:c r="T90" s="35" t="str">
        <x:v>Target group procurement; send EU-ready compliance and pricing.</x:v>
      </x:c>
      <x:c r="U90" s="35" t="str">
        <x:v>100g beans + spec sheet + COA</x:v>
      </x:c>
      <x:c r="V90" s="35" t="str">
        <x:v>Official contact form + LinkedIn procurement outreach</x:v>
      </x:c>
      <x:c r="W90" s="35" t="str">
        <x:v>https://www.aryzta.com/contact/</x:v>
      </x:c>
      <x:c r="X90" s="35" t="str">
        <x:v>Use official contact route; verify details before sending samples.</x:v>
      </x:c>
      <x:c r="Y90" s="35" t="str">
        <x:v>Not Contacted</x:v>
      </x:c>
      <x:c r="Z90" s="35" t="str"/>
      <x:c r="AA90" s="36" t="str">
        <x:v>2026-07-10</x:v>
      </x:c>
    </x:row>
    <x:row r="91" ht="58" customHeight="1">
      <x:c r="A91" s="21" t="n">
        <x:v>90</x:v>
      </x:c>
      <x:c r="B91" s="14" t="str">
        <x:v>A</x:v>
      </x:c>
      <x:c r="C91" s="14" t="n">
        <x:v>98</x:v>
      </x:c>
      <x:c r="D91" s="14" t="str">
        <x:v>Pecan Deluxe Candy</x:v>
      </x:c>
      <x:c r="E91" s="14" t="str">
        <x:v>Premium bakery, pastry &amp; dessert manufacturers</x:v>
      </x:c>
      <x:c r="F91" s="14" t="str">
        <x:v>Family-owned</x:v>
      </x:c>
      <x:c r="G91" s="14" t="str">
        <x:v>Dallas, Texas, USA</x:v>
      </x:c>
      <x:c r="H91" s="14" t="str">
        <x:v>USA / UK / Europe / Thailand</x:v>
      </x:c>
      <x:c r="I91" s="14" t="str">
        <x:v>https://pecandeluxe.com</x:v>
      </x:c>
      <x:c r="J91" s="14" t="str">
        <x:v>https://pecandeluxe.com/contact/</x:v>
      </x:c>
      <x:c r="K91" s="14" t="str">
        <x:v>sales@pecandeluxe.com / pdcc_info@pecandeluxe.com</x:v>
      </x:c>
      <x:c r="L91" s="14" t="str">
        <x:v>+1 214 631 3669 / +1 800 733 3589</x:v>
      </x:c>
      <x:c r="M91" s="14" t="str">
        <x:v>Jane Sowell, VP Procurement</x:v>
      </x:c>
      <x:c r="N91" s="14" t="str">
        <x:v>Procurement / R&amp;D inclusion sourcing</x:v>
      </x:c>
      <x:c r="O91" s="14" t="str">
        <x:v>Ice cream inclusions, bakery/confectionery toppings, beverage inclusions, custom ingredients</x:v>
      </x:c>
      <x:c r="P91" s="14" t="str">
        <x:v>High: vanilla can be used in inclusions, toppings and custom ingredient systems</x:v>
      </x:c>
      <x:c r="Q91" s="14" t="str">
        <x:v>Custom inclusion manufacturer serving ice cream, dairy, bakery and confectionery manufacturers.</x:v>
      </x:c>
      <x:c r="R91" s="14" t="str">
        <x:v>Large</x:v>
      </x:c>
      <x:c r="S91" s="14" t="str">
        <x:v>Fast</x:v>
      </x:c>
      <x:c r="T91" s="14" t="str">
        <x:v>Contact sales/procurement; pitch Ecuador vanilla for custom inclusions and client projects.</x:v>
      </x:c>
      <x:c r="U91" s="14" t="str">
        <x:v>250g beans + 100g powder or granules if available + clean testing</x:v>
      </x:c>
      <x:c r="V91" s="14" t="str">
        <x:v>Official contact form + LinkedIn procurement outreach</x:v>
      </x:c>
      <x:c r="W91" s="14" t="str">
        <x:v>https://pecandeluxe.com/contact/</x:v>
      </x:c>
      <x:c r="X91" s="14" t="str">
        <x:v>Official contact page lists sales email and phone; public LinkedIn lists procurement leadership.</x:v>
      </x:c>
      <x:c r="Y91" s="14" t="str">
        <x:v>Not Contacted</x:v>
      </x:c>
      <x:c r="Z91" s="14" t="str"/>
      <x:c r="AA91" s="22" t="str">
        <x:v>2026-07-10</x:v>
      </x:c>
    </x:row>
    <x:row r="92" ht="58" customHeight="1">
      <x:c r="A92" s="34" t="n">
        <x:v>91</x:v>
      </x:c>
      <x:c r="B92" s="35" t="str">
        <x:v>B</x:v>
      </x:c>
      <x:c r="C92" s="35" t="n">
        <x:v>84</x:v>
      </x:c>
      <x:c r="D92" s="35" t="str">
        <x:v>Starbucks Coffee Company</x:v>
      </x:c>
      <x:c r="E92" s="35" t="str">
        <x:v>Premium beverages, coffee, plant-based &amp; syrups</x:v>
      </x:c>
      <x:c r="F92" s="35" t="str">
        <x:v>Starbucks Corporation</x:v>
      </x:c>
      <x:c r="G92" s="35" t="str">
        <x:v>Seattle, Washington, USA</x:v>
      </x:c>
      <x:c r="H92" s="35" t="str">
        <x:v>Global</x:v>
      </x:c>
      <x:c r="I92" s="35" t="str">
        <x:v>https://www.starbucks.com</x:v>
      </x:c>
      <x:c r="J92" s="35" t="str">
        <x:v>https://www.starbucks.com/business/suppliers/</x:v>
      </x:c>
      <x:c r="K92" s="35" t="str">
        <x:v>Supplier portal/guidance only</x:v>
      </x:c>
      <x:c r="L92" s="35" t="str">
        <x:v>Not publicly listed</x:v>
      </x:c>
      <x:c r="M92" s="35" t="str">
        <x:v>Not publicly listed</x:v>
      </x:c>
      <x:c r="N92" s="35" t="str">
        <x:v>Supplier registration / ingredient sourcing / beverage R&amp;D</x:v>
      </x:c>
      <x:c r="O92" s="35" t="str">
        <x:v>Coffee beverages, syrups, creamers, bakery, RTD beverages</x:v>
      </x:c>
      <x:c r="P92" s="35" t="str">
        <x:v>High: vanilla syrups, flavored coffee beverages, creamers and bakery products</x:v>
      </x:c>
      <x:c r="Q92" s="35" t="str">
        <x:v>Huge vanilla user but formal supplier path; potential strategic volume.</x:v>
      </x:c>
      <x:c r="R92" s="35" t="str">
        <x:v>Strategic/Large</x:v>
      </x:c>
      <x:c r="S92" s="35" t="str">
        <x:v>Slow</x:v>
      </x:c>
      <x:c r="T92" s="35" t="str">
        <x:v>Use supplier guidance path; combine with targeted ingredient sourcing outreach.</x:v>
      </x:c>
      <x:c r="U92" s="35" t="str">
        <x:v>Supplier packet first; samples after buyer request</x:v>
      </x:c>
      <x:c r="V92" s="35" t="str">
        <x:v>Starbucks supplier guidance / supplier diversity route</x:v>
      </x:c>
      <x:c r="W92" s="35" t="str">
        <x:v>https://www.starbucks.com/business/suppliers/</x:v>
      </x:c>
      <x:c r="X92" s="35" t="str">
        <x:v>Official supplier guidance page for prospective/current suppliers.</x:v>
      </x:c>
      <x:c r="Y92" s="35" t="str">
        <x:v>Not Contacted</x:v>
      </x:c>
      <x:c r="Z92" s="35" t="str"/>
      <x:c r="AA92" s="36" t="str">
        <x:v>2026-07-10</x:v>
      </x:c>
    </x:row>
    <x:row r="93" ht="58" customHeight="1">
      <x:c r="A93" s="21" t="n">
        <x:v>92</x:v>
      </x:c>
      <x:c r="B93" s="14" t="str">
        <x:v>B</x:v>
      </x:c>
      <x:c r="C93" s="14" t="n">
        <x:v>82</x:v>
      </x:c>
      <x:c r="D93" s="14" t="str">
        <x:v>Peet's Coffee</x:v>
      </x:c>
      <x:c r="E93" s="14" t="str">
        <x:v>Premium beverages, coffee, plant-based &amp; syrups</x:v>
      </x:c>
      <x:c r="F93" s="14" t="str">
        <x:v>JDE Peet's</x:v>
      </x:c>
      <x:c r="G93" s="14" t="str">
        <x:v>Emeryville, California, USA</x:v>
      </x:c>
      <x:c r="H93" s="14" t="str">
        <x:v>USA / online</x:v>
      </x:c>
      <x:c r="I93" s="14" t="str">
        <x:v>https://www.peets.com</x:v>
      </x:c>
      <x:c r="J93" s="14" t="str">
        <x:v>https://www.peets.com/pages/contact-us</x:v>
      </x:c>
      <x:c r="K93" s="14" t="str">
        <x:v>Contact form only</x:v>
      </x:c>
      <x:c r="L93" s="14" t="str">
        <x:v>Not publicly listed</x:v>
      </x:c>
      <x:c r="M93" s="14" t="str">
        <x:v>Not publicly listed</x:v>
      </x:c>
      <x:c r="N93" s="14" t="str">
        <x:v>Beverage innovation / ingredient procurement</x:v>
      </x:c>
      <x:c r="O93" s="14" t="str">
        <x:v>Coffee, ready-to-drink beverages, tea, packaged products</x:v>
      </x:c>
      <x:c r="P93" s="14" t="str">
        <x:v>Medium-high: vanilla coffee drinks, RTD, syrups and creamers</x:v>
      </x:c>
      <x:c r="Q93" s="14" t="str">
        <x:v>Premium coffee brand with beverage innovation potential.</x:v>
      </x:c>
      <x:c r="R93" s="14" t="str">
        <x:v>Medium</x:v>
      </x:c>
      <x:c r="S93" s="14" t="str">
        <x:v>Medium</x:v>
      </x:c>
      <x:c r="T93" s="14" t="str">
        <x:v>Target beverage innovation and procurement; pitch vanilla for RTD/coffeehouse applications.</x:v>
      </x:c>
      <x:c r="U93" s="14" t="str">
        <x:v>100g beans + spec sheet + COA</x:v>
      </x:c>
      <x:c r="V93" s="14" t="str">
        <x:v>Official contact form + LinkedIn procurement outreach</x:v>
      </x:c>
      <x:c r="W93" s="14" t="str">
        <x:v>https://www.peets.com/pages/contact-us</x:v>
      </x:c>
      <x:c r="X93" s="14" t="str">
        <x:v>Use official contact route; verify details before sending samples.</x:v>
      </x:c>
      <x:c r="Y93" s="14" t="str">
        <x:v>Not Contacted</x:v>
      </x:c>
      <x:c r="Z93" s="14" t="str"/>
      <x:c r="AA93" s="22" t="str">
        <x:v>2026-07-10</x:v>
      </x:c>
    </x:row>
    <x:row r="94" ht="58" customHeight="1">
      <x:c r="A94" s="34" t="n">
        <x:v>93</x:v>
      </x:c>
      <x:c r="B94" s="35" t="str">
        <x:v>B</x:v>
      </x:c>
      <x:c r="C94" s="35" t="n">
        <x:v>79</x:v>
      </x:c>
      <x:c r="D94" s="35" t="str">
        <x:v>Blue Bottle Coffee</x:v>
      </x:c>
      <x:c r="E94" s="35" t="str">
        <x:v>Premium beverages, coffee, plant-based &amp; syrups</x:v>
      </x:c>
      <x:c r="F94" s="35" t="str">
        <x:v>Nestlé</x:v>
      </x:c>
      <x:c r="G94" s="35" t="str">
        <x:v>Oakland, California, USA</x:v>
      </x:c>
      <x:c r="H94" s="35" t="str">
        <x:v>USA / Japan / Asia</x:v>
      </x:c>
      <x:c r="I94" s="35" t="str">
        <x:v>https://bluebottlecoffee.com</x:v>
      </x:c>
      <x:c r="J94" s="35" t="str">
        <x:v>https://bluebottlecoffee.com/contact</x:v>
      </x:c>
      <x:c r="K94" s="35" t="str">
        <x:v>Contact form only</x:v>
      </x:c>
      <x:c r="L94" s="35" t="str">
        <x:v>Not publicly listed</x:v>
      </x:c>
      <x:c r="M94" s="35" t="str">
        <x:v>Not publicly listed</x:v>
      </x:c>
      <x:c r="N94" s="35" t="str">
        <x:v>Product development / Nestlé supplier portal</x:v>
      </x:c>
      <x:c r="O94" s="35" t="str">
        <x:v>Premium coffee, cafes, RTD coffee, subscriptions</x:v>
      </x:c>
      <x:c r="P94" s="35" t="str">
        <x:v>Medium-high: premium vanilla coffee beverages and cafe pastry applications</x:v>
      </x:c>
      <x:c r="Q94" s="35" t="str">
        <x:v>Premium coffee brand with parent Nestlé supplier infrastructure.</x:v>
      </x:c>
      <x:c r="R94" s="35" t="str">
        <x:v>Specialty</x:v>
      </x:c>
      <x:c r="S94" s="35" t="str">
        <x:v>Medium</x:v>
      </x:c>
      <x:c r="T94" s="35" t="str">
        <x:v>Brand contact for innovation; Nestlé supplier portal for formal supply.</x:v>
      </x:c>
      <x:c r="U94" s="35" t="str">
        <x:v>100g beans + spec sheet + COA</x:v>
      </x:c>
      <x:c r="V94" s="35" t="str">
        <x:v>Brand contact + Nestlé Supplier Portal</x:v>
      </x:c>
      <x:c r="W94" s="35" t="str">
        <x:v>https://www.nestle.com/info/suppliers</x:v>
      </x:c>
      <x:c r="X94" s="35" t="str">
        <x:v>Use official contact route; verify details before sending samples.</x:v>
      </x:c>
      <x:c r="Y94" s="35" t="str">
        <x:v>Not Contacted</x:v>
      </x:c>
      <x:c r="Z94" s="35" t="str"/>
      <x:c r="AA94" s="36" t="str">
        <x:v>2026-07-10</x:v>
      </x:c>
    </x:row>
    <x:row r="95" ht="58" customHeight="1">
      <x:c r="A95" s="21" t="n">
        <x:v>94</x:v>
      </x:c>
      <x:c r="B95" s="14" t="str">
        <x:v>A</x:v>
      </x:c>
      <x:c r="C95" s="14" t="n">
        <x:v>93</x:v>
      </x:c>
      <x:c r="D95" s="14" t="str">
        <x:v>La Colombe Coffee Roasters</x:v>
      </x:c>
      <x:c r="E95" s="14" t="str">
        <x:v>Premium beverages, coffee, plant-based &amp; syrups</x:v>
      </x:c>
      <x:c r="F95" s="14" t="str">
        <x:v>Chobani</x:v>
      </x:c>
      <x:c r="G95" s="14" t="str">
        <x:v>Philadelphia, Pennsylvania, USA</x:v>
      </x:c>
      <x:c r="H95" s="14" t="str">
        <x:v>USA</x:v>
      </x:c>
      <x:c r="I95" s="14" t="str">
        <x:v>https://www.lacolombe.com</x:v>
      </x:c>
      <x:c r="J95" s="14" t="str">
        <x:v>https://www.lacolombe.com/pages/contact-us</x:v>
      </x:c>
      <x:c r="K95" s="14" t="str">
        <x:v>Contact form only</x:v>
      </x:c>
      <x:c r="L95" s="14" t="str">
        <x:v>Not publicly listed</x:v>
      </x:c>
      <x:c r="M95" s="14" t="str">
        <x:v>Not publicly listed</x:v>
      </x:c>
      <x:c r="N95" s="14" t="str">
        <x:v>RTD beverage procurement / innovation</x:v>
      </x:c>
      <x:c r="O95" s="14" t="str">
        <x:v>Coffee, draft latte, ready-to-drink beverages, cafe products</x:v>
      </x:c>
      <x:c r="P95" s="14" t="str">
        <x:v>High: vanilla RTD coffee beverages and cafe applications</x:v>
      </x:c>
      <x:c r="Q95" s="14" t="str">
        <x:v>RTD coffee manufacturer with Chobani parent; vanilla fits canned latte formats.</x:v>
      </x:c>
      <x:c r="R95" s="14" t="str">
        <x:v>Medium</x:v>
      </x:c>
      <x:c r="S95" s="14" t="str">
        <x:v>Medium</x:v>
      </x:c>
      <x:c r="T95" s="14" t="str">
        <x:v>Target beverage R&amp;D/procurement; pitch clean-label vanilla for RTD lattes.</x:v>
      </x:c>
      <x:c r="U95" s="14" t="str">
        <x:v>100g beans + spec sheet + COA</x:v>
      </x:c>
      <x:c r="V95" s="14" t="str">
        <x:v>Official contact form + LinkedIn procurement outreach</x:v>
      </x:c>
      <x:c r="W95" s="14" t="str">
        <x:v>https://www.lacolombe.com/pages/contact-us</x:v>
      </x:c>
      <x:c r="X95" s="14" t="str">
        <x:v>Use official contact route; verify details before sending samples.</x:v>
      </x:c>
      <x:c r="Y95" s="14" t="str">
        <x:v>Not Contacted</x:v>
      </x:c>
      <x:c r="Z95" s="14" t="str"/>
      <x:c r="AA95" s="22" t="str">
        <x:v>2026-07-10</x:v>
      </x:c>
    </x:row>
    <x:row r="96" ht="58" customHeight="1">
      <x:c r="A96" s="34" t="n">
        <x:v>95</x:v>
      </x:c>
      <x:c r="B96" s="35" t="str">
        <x:v>B</x:v>
      </x:c>
      <x:c r="C96" s="35" t="n">
        <x:v>79</x:v>
      </x:c>
      <x:c r="D96" s="35" t="str">
        <x:v>Stumptown Coffee Roasters</x:v>
      </x:c>
      <x:c r="E96" s="35" t="str">
        <x:v>Premium beverages, coffee, plant-based &amp; syrups</x:v>
      </x:c>
      <x:c r="F96" s="35" t="str">
        <x:v>JDE Peet's</x:v>
      </x:c>
      <x:c r="G96" s="35" t="str">
        <x:v>Portland, Oregon, USA</x:v>
      </x:c>
      <x:c r="H96" s="35" t="str">
        <x:v>USA / coffeehouse</x:v>
      </x:c>
      <x:c r="I96" s="35" t="str">
        <x:v>https://www.stumptowncoffee.com</x:v>
      </x:c>
      <x:c r="J96" s="35" t="str">
        <x:v>https://www.stumptowncoffee.com/pages/contact-us</x:v>
      </x:c>
      <x:c r="K96" s="35" t="str">
        <x:v>Contact form only</x:v>
      </x:c>
      <x:c r="L96" s="35" t="str">
        <x:v>Not publicly listed</x:v>
      </x:c>
      <x:c r="M96" s="35" t="str">
        <x:v>Not publicly listed</x:v>
      </x:c>
      <x:c r="N96" s="35" t="str">
        <x:v>Beverage innovation / culinary procurement</x:v>
      </x:c>
      <x:c r="O96" s="35" t="str">
        <x:v>Premium coffee, cold brew, cafes</x:v>
      </x:c>
      <x:c r="P96" s="35" t="str">
        <x:v>Medium: vanilla cold brew or cafe beverage applications</x:v>
      </x:c>
      <x:c r="Q96" s="35" t="str">
        <x:v>Premium coffee brand; specialty volume and collaboration potential.</x:v>
      </x:c>
      <x:c r="R96" s="35" t="str">
        <x:v>Specialty</x:v>
      </x:c>
      <x:c r="S96" s="35" t="str">
        <x:v>Medium</x:v>
      </x:c>
      <x:c r="T96" s="35" t="str">
        <x:v>Pitch vanilla cold brew/cafe seasonal beverage program.</x:v>
      </x:c>
      <x:c r="U96" s="35" t="str">
        <x:v>100g beans + spec sheet + COA</x:v>
      </x:c>
      <x:c r="V96" s="35" t="str">
        <x:v>Official contact form + LinkedIn procurement outreach</x:v>
      </x:c>
      <x:c r="W96" s="35" t="str">
        <x:v>https://www.stumptowncoffee.com/pages/contact-us</x:v>
      </x:c>
      <x:c r="X96" s="35" t="str">
        <x:v>Use official contact route; verify details before sending samples.</x:v>
      </x:c>
      <x:c r="Y96" s="35" t="str">
        <x:v>Not Contacted</x:v>
      </x:c>
      <x:c r="Z96" s="35" t="str"/>
      <x:c r="AA96" s="36" t="str">
        <x:v>2026-07-10</x:v>
      </x:c>
    </x:row>
    <x:row r="97" ht="58" customHeight="1">
      <x:c r="A97" s="21" t="n">
        <x:v>96</x:v>
      </x:c>
      <x:c r="B97" s="14" t="str">
        <x:v>C</x:v>
      </x:c>
      <x:c r="C97" s="14" t="n">
        <x:v>69</x:v>
      </x:c>
      <x:c r="D97" s="14" t="str">
        <x:v>Intelligentsia Coffee</x:v>
      </x:c>
      <x:c r="E97" s="14" t="str">
        <x:v>Premium beverages, coffee, plant-based &amp; syrups</x:v>
      </x:c>
      <x:c r="F97" s="14" t="str">
        <x:v>JDE Peet's</x:v>
      </x:c>
      <x:c r="G97" s="14" t="str">
        <x:v>Chicago, Illinois, USA</x:v>
      </x:c>
      <x:c r="H97" s="14" t="str">
        <x:v>USA</x:v>
      </x:c>
      <x:c r="I97" s="14" t="str">
        <x:v>https://www.intelligentsia.com</x:v>
      </x:c>
      <x:c r="J97" s="14" t="str">
        <x:v>https://www.intelligentsia.com/pages/contact</x:v>
      </x:c>
      <x:c r="K97" s="14" t="str">
        <x:v>Contact form only</x:v>
      </x:c>
      <x:c r="L97" s="14" t="str">
        <x:v>Not publicly listed</x:v>
      </x:c>
      <x:c r="M97" s="14" t="str">
        <x:v>Not publicly listed</x:v>
      </x:c>
      <x:c r="N97" s="14" t="str">
        <x:v>Beverage innovation / culinary procurement</x:v>
      </x:c>
      <x:c r="O97" s="14" t="str">
        <x:v>Premium coffee, cafes, subscriptions</x:v>
      </x:c>
      <x:c r="P97" s="14" t="str">
        <x:v>Medium: vanilla beverage and cafe pastry usage</x:v>
      </x:c>
      <x:c r="Q97" s="14" t="str">
        <x:v>Premium coffee brand; lower volume but strong specialty positioning.</x:v>
      </x:c>
      <x:c r="R97" s="14" t="str">
        <x:v>Specialty</x:v>
      </x:c>
      <x:c r="S97" s="14" t="str">
        <x:v>Medium</x:v>
      </x:c>
      <x:c r="T97" s="14" t="str">
        <x:v>Offer small high-quality lot for cafe/seasonal beverage program.</x:v>
      </x:c>
      <x:c r="U97" s="14" t="str">
        <x:v>100g beans + spec sheet + COA</x:v>
      </x:c>
      <x:c r="V97" s="14" t="str">
        <x:v>Official contact form + LinkedIn procurement outreach</x:v>
      </x:c>
      <x:c r="W97" s="14" t="str">
        <x:v>https://www.intelligentsia.com/pages/contact</x:v>
      </x:c>
      <x:c r="X97" s="14" t="str">
        <x:v>Use official contact route; verify details before sending samples.</x:v>
      </x:c>
      <x:c r="Y97" s="14" t="str">
        <x:v>Not Contacted</x:v>
      </x:c>
      <x:c r="Z97" s="14" t="str"/>
      <x:c r="AA97" s="22" t="str">
        <x:v>2026-07-10</x:v>
      </x:c>
    </x:row>
    <x:row r="98" ht="58" customHeight="1">
      <x:c r="A98" s="34" t="n">
        <x:v>97</x:v>
      </x:c>
      <x:c r="B98" s="35" t="str">
        <x:v>A</x:v>
      </x:c>
      <x:c r="C98" s="35" t="n">
        <x:v>96</x:v>
      </x:c>
      <x:c r="D98" s="35" t="str">
        <x:v>Califia Farms</x:v>
      </x:c>
      <x:c r="E98" s="35" t="str">
        <x:v>Premium beverages, coffee, plant-based &amp; syrups</x:v>
      </x:c>
      <x:c r="F98" s="35" t="str">
        <x:v>Private</x:v>
      </x:c>
      <x:c r="G98" s="35" t="str">
        <x:v>Los Angeles, California, USA</x:v>
      </x:c>
      <x:c r="H98" s="35" t="str">
        <x:v>USA / UK / Australia</x:v>
      </x:c>
      <x:c r="I98" s="35" t="str">
        <x:v>https://www.califiafarms.com</x:v>
      </x:c>
      <x:c r="J98" s="35" t="str">
        <x:v>https://www.califiafarms.com/contact-us/</x:v>
      </x:c>
      <x:c r="K98" s="35" t="str">
        <x:v>hello@califiafarms.com</x:v>
      </x:c>
      <x:c r="L98" s="35" t="str">
        <x:v>+1 844 237 4779 / +44 800 808 5525 / +61 2 8880 0958</x:v>
      </x:c>
      <x:c r="M98" s="35" t="str">
        <x:v>Not publicly listed</x:v>
      </x:c>
      <x:c r="N98" s="35" t="str">
        <x:v>Ingredient procurement / creamer and coffee R&amp;D</x:v>
      </x:c>
      <x:c r="O98" s="35" t="str">
        <x:v>Plant-based milks, creamers, cold brew coffees, barista blends</x:v>
      </x:c>
      <x:c r="P98" s="35" t="str">
        <x:v>Very high: vanilla plant milk, creamer and cold brew formulations</x:v>
      </x:c>
      <x:c r="Q98" s="35" t="str">
        <x:v>Premium plant-based beverage manufacturer with public contact routing and vanilla applications.</x:v>
      </x:c>
      <x:c r="R98" s="35" t="str">
        <x:v>Large</x:v>
      </x:c>
      <x:c r="S98" s="35" t="str">
        <x:v>Medium</x:v>
      </x:c>
      <x:c r="T98" s="35" t="str">
        <x:v>Use contact options and specifically request routing to ingredient procurement/R&amp;D.</x:v>
      </x:c>
      <x:c r="U98" s="35" t="str">
        <x:v>100g beans + spec sheet + COA</x:v>
      </x:c>
      <x:c r="V98" s="35" t="str">
        <x:v>Official contact form + LinkedIn procurement outreach</x:v>
      </x:c>
      <x:c r="W98" s="35" t="str">
        <x:v>https://www.califiafarms.com/contact-us/</x:v>
      </x:c>
      <x:c r="X98" s="35" t="str">
        <x:v>Official contact page lists public email and country phone numbers.</x:v>
      </x:c>
      <x:c r="Y98" s="35" t="str">
        <x:v>Not Contacted</x:v>
      </x:c>
      <x:c r="Z98" s="35" t="str"/>
      <x:c r="AA98" s="36" t="str">
        <x:v>2026-07-10</x:v>
      </x:c>
    </x:row>
    <x:row r="99" ht="58" customHeight="1">
      <x:c r="A99" s="21" t="n">
        <x:v>98</x:v>
      </x:c>
      <x:c r="B99" s="14" t="str">
        <x:v>B</x:v>
      </x:c>
      <x:c r="C99" s="14" t="n">
        <x:v>82</x:v>
      </x:c>
      <x:c r="D99" s="14" t="str">
        <x:v>Oatly</x:v>
      </x:c>
      <x:c r="E99" s="14" t="str">
        <x:v>Premium beverages, coffee, plant-based &amp; syrups</x:v>
      </x:c>
      <x:c r="F99" s="14" t="str">
        <x:v>Public company</x:v>
      </x:c>
      <x:c r="G99" s="14" t="str">
        <x:v>Malmö, Sweden</x:v>
      </x:c>
      <x:c r="H99" s="14" t="str">
        <x:v>Global</x:v>
      </x:c>
      <x:c r="I99" s="14" t="str">
        <x:v>https://www.oatly.com</x:v>
      </x:c>
      <x:c r="J99" s="14" t="str">
        <x:v>https://www.oatly.com/contact</x:v>
      </x:c>
      <x:c r="K99" s="14" t="str">
        <x:v>Contact form only</x:v>
      </x:c>
      <x:c r="L99" s="14" t="str">
        <x:v>Not publicly listed</x:v>
      </x:c>
      <x:c r="M99" s="14" t="str">
        <x:v>Not publicly listed</x:v>
      </x:c>
      <x:c r="N99" s="14" t="str">
        <x:v>Ingredients procurement / product development</x:v>
      </x:c>
      <x:c r="O99" s="14" t="str">
        <x:v>Oat drinks, barista products, creamers, frozen desserts</x:v>
      </x:c>
      <x:c r="P99" s="14" t="str">
        <x:v>Medium-high: vanilla in flavored oat drinks, creamers and frozen desserts</x:v>
      </x:c>
      <x:c r="Q99" s="14" t="str">
        <x:v>Global plant-based brand; potential strategic buyer if vanilla aligns with innovation.</x:v>
      </x:c>
      <x:c r="R99" s="14" t="str">
        <x:v>Large</x:v>
      </x:c>
      <x:c r="S99" s="14" t="str">
        <x:v>Slow</x:v>
      </x:c>
      <x:c r="T99" s="14" t="str">
        <x:v>Use contact/supplier route; pitch clean-label vanilla for oatmilk/creamer innovation.</x:v>
      </x:c>
      <x:c r="U99" s="14" t="str">
        <x:v>100g beans + spec sheet + COA</x:v>
      </x:c>
      <x:c r="V99" s="14" t="str">
        <x:v>Official contact form + LinkedIn procurement outreach</x:v>
      </x:c>
      <x:c r="W99" s="14" t="str">
        <x:v>https://www.oatly.com/legal/supplier-code-of-conduct</x:v>
      </x:c>
      <x:c r="X99" s="14" t="str">
        <x:v>Use official contact route; verify details before sending samples.</x:v>
      </x:c>
      <x:c r="Y99" s="14" t="str">
        <x:v>Not Contacted</x:v>
      </x:c>
      <x:c r="Z99" s="14" t="str"/>
      <x:c r="AA99" s="22" t="str">
        <x:v>2026-07-10</x:v>
      </x:c>
    </x:row>
    <x:row r="100" ht="58" customHeight="1">
      <x:c r="A100" s="34" t="n">
        <x:v>99</x:v>
      </x:c>
      <x:c r="B100" s="35" t="str">
        <x:v>A</x:v>
      </x:c>
      <x:c r="C100" s="35" t="n">
        <x:v>93</x:v>
      </x:c>
      <x:c r="D100" s="35" t="str">
        <x:v>Elmhurst 1925</x:v>
      </x:c>
      <x:c r="E100" s="35" t="str">
        <x:v>Premium beverages, coffee, plant-based &amp; syrups</x:v>
      </x:c>
      <x:c r="F100" s="35" t="str">
        <x:v>Private</x:v>
      </x:c>
      <x:c r="G100" s="35" t="str">
        <x:v>Elma, New York, USA</x:v>
      </x:c>
      <x:c r="H100" s="35" t="str">
        <x:v>USA</x:v>
      </x:c>
      <x:c r="I100" s="35" t="str">
        <x:v>https://elmhurst1925.com</x:v>
      </x:c>
      <x:c r="J100" s="35" t="str">
        <x:v>https://elmhurst1925.com/pages/contact</x:v>
      </x:c>
      <x:c r="K100" s="35" t="str">
        <x:v>Contact form only</x:v>
      </x:c>
      <x:c r="L100" s="35" t="str">
        <x:v>Not publicly listed</x:v>
      </x:c>
      <x:c r="M100" s="35" t="str">
        <x:v>Not publicly listed</x:v>
      </x:c>
      <x:c r="N100" s="35" t="str">
        <x:v>Ingredient sourcing / product development</x:v>
      </x:c>
      <x:c r="O100" s="35" t="str">
        <x:v>Plant-based milks, creamers, barista products</x:v>
      </x:c>
      <x:c r="P100" s="35" t="str">
        <x:v>High: vanilla in plant milks and creamers</x:v>
      </x:c>
      <x:c r="Q100" s="35" t="str">
        <x:v>Premium plant-based manufacturer with clean ingredient positioning.</x:v>
      </x:c>
      <x:c r="R100" s="35" t="str">
        <x:v>Medium</x:v>
      </x:c>
      <x:c r="S100" s="35" t="str">
        <x:v>Medium</x:v>
      </x:c>
      <x:c r="T100" s="35" t="str">
        <x:v>Pitch clean-label Ecuador vanilla for vanilla plant milk and creamer.</x:v>
      </x:c>
      <x:c r="U100" s="35" t="str">
        <x:v>100g beans + spec sheet + COA</x:v>
      </x:c>
      <x:c r="V100" s="35" t="str">
        <x:v>Official contact form + LinkedIn procurement outreach</x:v>
      </x:c>
      <x:c r="W100" s="35" t="str">
        <x:v>https://elmhurst1925.com/pages/contact</x:v>
      </x:c>
      <x:c r="X100" s="35" t="str">
        <x:v>Use official contact route; verify details before sending samples.</x:v>
      </x:c>
      <x:c r="Y100" s="35" t="str">
        <x:v>Not Contacted</x:v>
      </x:c>
      <x:c r="Z100" s="35" t="str"/>
      <x:c r="AA100" s="36" t="str">
        <x:v>2026-07-10</x:v>
      </x:c>
    </x:row>
    <x:row r="101" ht="58" customHeight="1">
      <x:c r="A101" s="21" t="n">
        <x:v>100</x:v>
      </x:c>
      <x:c r="B101" s="14" t="str">
        <x:v>A</x:v>
      </x:c>
      <x:c r="C101" s="14" t="n">
        <x:v>93</x:v>
      </x:c>
      <x:c r="D101" s="14" t="str">
        <x:v>Ripple Foods</x:v>
      </x:c>
      <x:c r="E101" s="14" t="str">
        <x:v>Premium beverages, coffee, plant-based &amp; syrups</x:v>
      </x:c>
      <x:c r="F101" s="14" t="str">
        <x:v>Private</x:v>
      </x:c>
      <x:c r="G101" s="14" t="str">
        <x:v>Berkeley, California, USA</x:v>
      </x:c>
      <x:c r="H101" s="14" t="str">
        <x:v>USA</x:v>
      </x:c>
      <x:c r="I101" s="14" t="str">
        <x:v>https://www.ripplefoods.com</x:v>
      </x:c>
      <x:c r="J101" s="14" t="str">
        <x:v>https://www.ripplefoods.com/contact-us/</x:v>
      </x:c>
      <x:c r="K101" s="14" t="str">
        <x:v>Contact form only</x:v>
      </x:c>
      <x:c r="L101" s="14" t="str">
        <x:v>Not publicly listed</x:v>
      </x:c>
      <x:c r="M101" s="14" t="str">
        <x:v>Not publicly listed</x:v>
      </x:c>
      <x:c r="N101" s="14" t="str">
        <x:v>Ingredient sourcing / plant-based dairy R&amp;D</x:v>
      </x:c>
      <x:c r="O101" s="14" t="str">
        <x:v>Pea-protein milks, shakes, kids' milk, creamers</x:v>
      </x:c>
      <x:c r="P101" s="14" t="str">
        <x:v>High: vanilla in plant-based milk and protein drinks</x:v>
      </x:c>
      <x:c r="Q101" s="14" t="str">
        <x:v>Plant-based beverages often use vanilla to improve flavor masking and premiumization.</x:v>
      </x:c>
      <x:c r="R101" s="14" t="str">
        <x:v>Medium</x:v>
      </x:c>
      <x:c r="S101" s="14" t="str">
        <x:v>Medium</x:v>
      </x:c>
      <x:c r="T101" s="14" t="str">
        <x:v>Pitch as premium natural vanilla for flavor masking and vanilla SKUs.</x:v>
      </x:c>
      <x:c r="U101" s="14" t="str">
        <x:v>100g beans + spec sheet + COA</x:v>
      </x:c>
      <x:c r="V101" s="14" t="str">
        <x:v>Official contact form + LinkedIn procurement outreach</x:v>
      </x:c>
      <x:c r="W101" s="14" t="str">
        <x:v>https://www.ripplefoods.com/contact-us/</x:v>
      </x:c>
      <x:c r="X101" s="14" t="str">
        <x:v>Use official contact route; verify details before sending samples.</x:v>
      </x:c>
      <x:c r="Y101" s="14" t="str">
        <x:v>Not Contacted</x:v>
      </x:c>
      <x:c r="Z101" s="14" t="str"/>
      <x:c r="AA101" s="22" t="str">
        <x:v>2026-07-10</x:v>
      </x:c>
    </x:row>
    <x:row r="102" ht="58" customHeight="1">
      <x:c r="A102" s="34" t="n">
        <x:v>101</x:v>
      </x:c>
      <x:c r="B102" s="35" t="str">
        <x:v>A</x:v>
      </x:c>
      <x:c r="C102" s="35" t="n">
        <x:v>95</x:v>
      </x:c>
      <x:c r="D102" s="35" t="str">
        <x:v>Koia</x:v>
      </x:c>
      <x:c r="E102" s="35" t="str">
        <x:v>Premium beverages, coffee, plant-based &amp; syrups</x:v>
      </x:c>
      <x:c r="F102" s="35" t="str">
        <x:v>Private</x:v>
      </x:c>
      <x:c r="G102" s="35" t="str">
        <x:v>Los Angeles, California, USA</x:v>
      </x:c>
      <x:c r="H102" s="35" t="str">
        <x:v>USA</x:v>
      </x:c>
      <x:c r="I102" s="35" t="str">
        <x:v>https://drinkkoia.com</x:v>
      </x:c>
      <x:c r="J102" s="35" t="str">
        <x:v>https://drinkkoia.com/pages/contact-us</x:v>
      </x:c>
      <x:c r="K102" s="35" t="str">
        <x:v>Contact form only</x:v>
      </x:c>
      <x:c r="L102" s="35" t="str">
        <x:v>Not publicly listed</x:v>
      </x:c>
      <x:c r="M102" s="35" t="str">
        <x:v>Not publicly listed</x:v>
      </x:c>
      <x:c r="N102" s="35" t="str">
        <x:v>Ingredient sourcing / protein beverage R&amp;D</x:v>
      </x:c>
      <x:c r="O102" s="35" t="str">
        <x:v>Plant-based protein shakes, coffee beverages, nutrition drinks</x:v>
      </x:c>
      <x:c r="P102" s="35" t="str">
        <x:v>High: vanilla flavor and masking in plant-based protein drinks</x:v>
      </x:c>
      <x:c r="Q102" s="35" t="str">
        <x:v>Fast-moving premium beverage brand; may value high-impact flavor ingredients.</x:v>
      </x:c>
      <x:c r="R102" s="35" t="str">
        <x:v>Medium</x:v>
      </x:c>
      <x:c r="S102" s="35" t="str">
        <x:v>Fast</x:v>
      </x:c>
      <x:c r="T102" s="35" t="str">
        <x:v>Pitch vanilla for protein drinks and coffee formulations; offer technical sensory sample.</x:v>
      </x:c>
      <x:c r="U102" s="35" t="str">
        <x:v>100g beans + spec sheet + COA</x:v>
      </x:c>
      <x:c r="V102" s="35" t="str">
        <x:v>Official contact form + LinkedIn procurement outreach</x:v>
      </x:c>
      <x:c r="W102" s="35" t="str">
        <x:v>https://drinkkoia.com/pages/contact-us</x:v>
      </x:c>
      <x:c r="X102" s="35" t="str">
        <x:v>Use official contact route; verify details before sending samples.</x:v>
      </x:c>
      <x:c r="Y102" s="35" t="str">
        <x:v>Not Contacted</x:v>
      </x:c>
      <x:c r="Z102" s="35" t="str"/>
      <x:c r="AA102" s="36" t="str">
        <x:v>2026-07-10</x:v>
      </x:c>
    </x:row>
    <x:row r="103" ht="58" customHeight="1">
      <x:c r="A103" s="21" t="n">
        <x:v>102</x:v>
      </x:c>
      <x:c r="B103" s="14" t="str">
        <x:v>B</x:v>
      </x:c>
      <x:c r="C103" s="14" t="n">
        <x:v>79</x:v>
      </x:c>
      <x:c r="D103" s="14" t="str">
        <x:v>GT's Living Foods</x:v>
      </x:c>
      <x:c r="E103" s="14" t="str">
        <x:v>Premium beverages, coffee, plant-based &amp; syrups</x:v>
      </x:c>
      <x:c r="F103" s="14" t="str">
        <x:v>Private</x:v>
      </x:c>
      <x:c r="G103" s="14" t="str">
        <x:v>Vernon, California, USA</x:v>
      </x:c>
      <x:c r="H103" s="14" t="str">
        <x:v>USA</x:v>
      </x:c>
      <x:c r="I103" s="14" t="str">
        <x:v>https://gtslivingfoods.com</x:v>
      </x:c>
      <x:c r="J103" s="14" t="str">
        <x:v>https://gtslivingfoods.com/pages/contact-us</x:v>
      </x:c>
      <x:c r="K103" s="14" t="str">
        <x:v>Contact form only</x:v>
      </x:c>
      <x:c r="L103" s="14" t="str">
        <x:v>Not publicly listed</x:v>
      </x:c>
      <x:c r="M103" s="14" t="str">
        <x:v>Not publicly listed</x:v>
      </x:c>
      <x:c r="N103" s="14" t="str">
        <x:v>Flavor innovation / ingredient procurement</x:v>
      </x:c>
      <x:c r="O103" s="14" t="str">
        <x:v>Kombucha, functional beverages, wellness drinks</x:v>
      </x:c>
      <x:c r="P103" s="14" t="str">
        <x:v>Medium: vanilla for limited-edition beverage flavors and wellness drinks</x:v>
      </x:c>
      <x:c r="Q103" s="14" t="str">
        <x:v>Premium functional beverage maker; smaller vanilla volume but fast innovation cycles.</x:v>
      </x:c>
      <x:c r="R103" s="14" t="str">
        <x:v>Specialty</x:v>
      </x:c>
      <x:c r="S103" s="14" t="str">
        <x:v>Medium</x:v>
      </x:c>
      <x:c r="T103" s="14" t="str">
        <x:v>Pitch vanilla for seasonal wellness beverage or botanical flavor line.</x:v>
      </x:c>
      <x:c r="U103" s="14" t="str">
        <x:v>100g beans + spec sheet + COA</x:v>
      </x:c>
      <x:c r="V103" s="14" t="str">
        <x:v>Official contact form + LinkedIn procurement outreach</x:v>
      </x:c>
      <x:c r="W103" s="14" t="str">
        <x:v>https://gtslivingfoods.com/pages/contact-us</x:v>
      </x:c>
      <x:c r="X103" s="14" t="str">
        <x:v>Use official contact route; verify details before sending samples.</x:v>
      </x:c>
      <x:c r="Y103" s="14" t="str">
        <x:v>Not Contacted</x:v>
      </x:c>
      <x:c r="Z103" s="14" t="str"/>
      <x:c r="AA103" s="22" t="str">
        <x:v>2026-07-10</x:v>
      </x:c>
    </x:row>
    <x:row r="104" ht="58" customHeight="1">
      <x:c r="A104" s="34" t="n">
        <x:v>103</x:v>
      </x:c>
      <x:c r="B104" s="35" t="str">
        <x:v>B</x:v>
      </x:c>
      <x:c r="C104" s="35" t="n">
        <x:v>79</x:v>
      </x:c>
      <x:c r="D104" s="35" t="str">
        <x:v>Health-Ade Kombucha</x:v>
      </x:c>
      <x:c r="E104" s="35" t="str">
        <x:v>Premium beverages, coffee, plant-based &amp; syrups</x:v>
      </x:c>
      <x:c r="F104" s="35" t="str">
        <x:v>Private / First Bev</x:v>
      </x:c>
      <x:c r="G104" s="35" t="str">
        <x:v>Los Angeles, California, USA</x:v>
      </x:c>
      <x:c r="H104" s="35" t="str">
        <x:v>USA</x:v>
      </x:c>
      <x:c r="I104" s="35" t="str">
        <x:v>https://health-ade.com</x:v>
      </x:c>
      <x:c r="J104" s="35" t="str">
        <x:v>https://health-ade.com/pages/contact-us</x:v>
      </x:c>
      <x:c r="K104" s="35" t="str">
        <x:v>Contact form only</x:v>
      </x:c>
      <x:c r="L104" s="35" t="str">
        <x:v>Not publicly listed</x:v>
      </x:c>
      <x:c r="M104" s="35" t="str">
        <x:v>Not publicly listed</x:v>
      </x:c>
      <x:c r="N104" s="35" t="str">
        <x:v>Flavor innovation / ingredient sourcing</x:v>
      </x:c>
      <x:c r="O104" s="35" t="str">
        <x:v>Kombucha, prebiotic soda, wellness beverages</x:v>
      </x:c>
      <x:c r="P104" s="35" t="str">
        <x:v>Medium: vanilla in soda/kombucha flavor innovation</x:v>
      </x:c>
      <x:c r="Q104" s="35" t="str">
        <x:v>Fast-moving premium beverage brand; possible small pilot.</x:v>
      </x:c>
      <x:c r="R104" s="35" t="str">
        <x:v>Specialty</x:v>
      </x:c>
      <x:c r="S104" s="35" t="str">
        <x:v>Medium</x:v>
      </x:c>
      <x:c r="T104" s="35" t="str">
        <x:v>Pitch vanilla as natural flavor anchor for prebiotic soda or limited release.</x:v>
      </x:c>
      <x:c r="U104" s="35" t="str">
        <x:v>100g beans + spec sheet + COA</x:v>
      </x:c>
      <x:c r="V104" s="35" t="str">
        <x:v>Official contact form + LinkedIn procurement outreach</x:v>
      </x:c>
      <x:c r="W104" s="35" t="str">
        <x:v>https://health-ade.com/pages/contact-us</x:v>
      </x:c>
      <x:c r="X104" s="35" t="str">
        <x:v>Use official contact route; verify details before sending samples.</x:v>
      </x:c>
      <x:c r="Y104" s="35" t="str">
        <x:v>Not Contacted</x:v>
      </x:c>
      <x:c r="Z104" s="35" t="str"/>
      <x:c r="AA104" s="36" t="str">
        <x:v>2026-07-10</x:v>
      </x:c>
    </x:row>
    <x:row r="105" ht="58" customHeight="1">
      <x:c r="A105" s="21" t="n">
        <x:v>104</x:v>
      </x:c>
      <x:c r="B105" s="14" t="str">
        <x:v>B</x:v>
      </x:c>
      <x:c r="C105" s="14" t="n">
        <x:v>79</x:v>
      </x:c>
      <x:c r="D105" s="14" t="str">
        <x:v>Harmless Harvest</x:v>
      </x:c>
      <x:c r="E105" s="14" t="str">
        <x:v>Premium beverages, coffee, plant-based &amp; syrups</x:v>
      </x:c>
      <x:c r="F105" s="14" t="str">
        <x:v>Private</x:v>
      </x:c>
      <x:c r="G105" s="14" t="str">
        <x:v>San Francisco, California, USA</x:v>
      </x:c>
      <x:c r="H105" s="14" t="str">
        <x:v>USA</x:v>
      </x:c>
      <x:c r="I105" s="14" t="str">
        <x:v>https://harmlessharvest.com</x:v>
      </x:c>
      <x:c r="J105" s="14" t="str">
        <x:v>https://harmlessharvest.com/pages/contact-us</x:v>
      </x:c>
      <x:c r="K105" s="14" t="str">
        <x:v>Contact form only</x:v>
      </x:c>
      <x:c r="L105" s="14" t="str">
        <x:v>Not publicly listed</x:v>
      </x:c>
      <x:c r="M105" s="14" t="str">
        <x:v>Not publicly listed</x:v>
      </x:c>
      <x:c r="N105" s="14" t="str">
        <x:v>Product development / ingredient sourcing</x:v>
      </x:c>
      <x:c r="O105" s="14" t="str">
        <x:v>Organic coconut water, coconut smoothies, dairy-free yogurt alternatives</x:v>
      </x:c>
      <x:c r="P105" s="14" t="str">
        <x:v>Medium-high: vanilla can complement coconut yogurt/smoothies</x:v>
      </x:c>
      <x:c r="Q105" s="14" t="str">
        <x:v>Premium organic beverage/plant-based dairy brand with sustainability positioning.</x:v>
      </x:c>
      <x:c r="R105" s="14" t="str">
        <x:v>Specialty</x:v>
      </x:c>
      <x:c r="S105" s="14" t="str">
        <x:v>Medium</x:v>
      </x:c>
      <x:c r="T105" s="14" t="str">
        <x:v>Pitch organic/traceable vanilla for coconut-based products.</x:v>
      </x:c>
      <x:c r="U105" s="14" t="str">
        <x:v>100g beans + spec sheet + COA</x:v>
      </x:c>
      <x:c r="V105" s="14" t="str">
        <x:v>Official contact form + LinkedIn procurement outreach</x:v>
      </x:c>
      <x:c r="W105" s="14" t="str">
        <x:v>https://harmlessharvest.com/pages/contact-us</x:v>
      </x:c>
      <x:c r="X105" s="14" t="str">
        <x:v>Use official contact route; verify details before sending samples.</x:v>
      </x:c>
      <x:c r="Y105" s="14" t="str">
        <x:v>Not Contacted</x:v>
      </x:c>
      <x:c r="Z105" s="14" t="str"/>
      <x:c r="AA105" s="22" t="str">
        <x:v>2026-07-10</x:v>
      </x:c>
    </x:row>
    <x:row r="106" ht="58" customHeight="1">
      <x:c r="A106" s="34" t="n">
        <x:v>105</x:v>
      </x:c>
      <x:c r="B106" s="35" t="str">
        <x:v>A</x:v>
      </x:c>
      <x:c r="C106" s="35" t="n">
        <x:v>96</x:v>
      </x:c>
      <x:c r="D106" s="35" t="str">
        <x:v>Monin</x:v>
      </x:c>
      <x:c r="E106" s="35" t="str">
        <x:v>Premium beverages, coffee, plant-based &amp; syrups</x:v>
      </x:c>
      <x:c r="F106" s="35" t="str">
        <x:v>Family-owned</x:v>
      </x:c>
      <x:c r="G106" s="35" t="str">
        <x:v>Bourges, France / Clearwater, Florida, USA</x:v>
      </x:c>
      <x:c r="H106" s="35" t="str">
        <x:v>Global</x:v>
      </x:c>
      <x:c r="I106" s="35" t="str">
        <x:v>https://www.monin.com</x:v>
      </x:c>
      <x:c r="J106" s="35" t="str">
        <x:v>https://monin.us/policies/contact-information</x:v>
      </x:c>
      <x:c r="K106" s="35" t="str">
        <x:v>support@help.monin.com</x:v>
      </x:c>
      <x:c r="L106" s="35" t="str">
        <x:v>+1 866 797 8720</x:v>
      </x:c>
      <x:c r="M106" s="35" t="str">
        <x:v>Not publicly listed</x:v>
      </x:c>
      <x:c r="N106" s="35" t="str">
        <x:v>Flavor ingredient procurement / syrup R&amp;D</x:v>
      </x:c>
      <x:c r="O106" s="35" t="str">
        <x:v>Premium syrups, sauces, concentrates, beverage flavorings</x:v>
      </x:c>
      <x:c r="P106" s="35" t="str">
        <x:v>Very high: vanilla syrups and flavor bases are core beverage products</x:v>
      </x:c>
      <x:c r="Q106" s="35" t="str">
        <x:v>Global beverage flavor/syrup manufacturer; direct vanilla relevance.</x:v>
      </x:c>
      <x:c r="R106" s="35" t="str">
        <x:v>Large</x:v>
      </x:c>
      <x:c r="S106" s="35" t="str">
        <x:v>Medium</x:v>
      </x:c>
      <x:c r="T106" s="35" t="str">
        <x:v>Contact US/global route; target R&amp;D/procurement for vanilla syrup ingredients.</x:v>
      </x:c>
      <x:c r="U106" s="35" t="str">
        <x:v>250g beans + extract sample if available + price ladder</x:v>
      </x:c>
      <x:c r="V106" s="35" t="str">
        <x:v>Official contact form + LinkedIn procurement outreach</x:v>
      </x:c>
      <x:c r="W106" s="35" t="str">
        <x:v>https://monin.us/policies/contact-information</x:v>
      </x:c>
      <x:c r="X106" s="35" t="str">
        <x:v>Official US contact policy lists support email and phone; sales routes are regional.</x:v>
      </x:c>
      <x:c r="Y106" s="35" t="str">
        <x:v>Not Contacted</x:v>
      </x:c>
      <x:c r="Z106" s="35" t="str"/>
      <x:c r="AA106" s="36" t="str">
        <x:v>2026-07-10</x:v>
      </x:c>
    </x:row>
    <x:row r="107" ht="58" customHeight="1">
      <x:c r="A107" s="21" t="n">
        <x:v>106</x:v>
      </x:c>
      <x:c r="B107" s="14" t="str">
        <x:v>B</x:v>
      </x:c>
      <x:c r="C107" s="14" t="n">
        <x:v>84</x:v>
      </x:c>
      <x:c r="D107" s="14" t="str">
        <x:v>Diageo</x:v>
      </x:c>
      <x:c r="E107" s="14" t="str">
        <x:v>Premium spirits, liqueurs &amp; alcoholic beverages</x:v>
      </x:c>
      <x:c r="F107" s="14" t="str">
        <x:v>Public company</x:v>
      </x:c>
      <x:c r="G107" s="14" t="str">
        <x:v>London, United Kingdom</x:v>
      </x:c>
      <x:c r="H107" s="14" t="str">
        <x:v>Global</x:v>
      </x:c>
      <x:c r="I107" s="14" t="str">
        <x:v>https://www.diageo.com</x:v>
      </x:c>
      <x:c r="J107" s="14" t="str">
        <x:v>https://procurement.my.site.com/servicehub/s/?language=en_US</x:v>
      </x:c>
      <x:c r="K107" s="14" t="str">
        <x:v>Supplier Service Hub</x:v>
      </x:c>
      <x:c r="L107" s="14" t="str">
        <x:v>Not publicly listed</x:v>
      </x:c>
      <x:c r="M107" s="14" t="str">
        <x:v>Jane Liang, Chief Procurement Officer</x:v>
      </x:c>
      <x:c r="N107" s="14" t="str">
        <x:v>Global procurement / liquid ingredients / flavor ingredients</x:v>
      </x:c>
      <x:c r="O107" s="14" t="str">
        <x:v>Baileys, Smirnoff, Captain Morgan, Crown Royal, Don Julio, Johnnie Walker</x:v>
      </x:c>
      <x:c r="P107" s="14" t="str">
        <x:v>High: vanilla in cream liqueurs, rum, flavored spirits and cocktail formats</x:v>
      </x:c>
      <x:c r="Q107" s="14" t="str">
        <x:v>Massive spirits company with multiple vanilla-relevant categories; formal onboarding.</x:v>
      </x:c>
      <x:c r="R107" s="14" t="str">
        <x:v>Strategic/Large</x:v>
      </x:c>
      <x:c r="S107" s="14" t="str">
        <x:v>Slow</x:v>
      </x:c>
      <x:c r="T107" s="14" t="str">
        <x:v>Use supplier service hub and targeted procurement outreach; pitch beverage-grade vanilla specs.</x:v>
      </x:c>
      <x:c r="U107" s="14" t="str">
        <x:v>Supplier packet first; 250g/500g sample after buyer request</x:v>
      </x:c>
      <x:c r="V107" s="14" t="str">
        <x:v>Diageo Supplier Service Hub + targeted procurement outreach</x:v>
      </x:c>
      <x:c r="W107" s="14" t="str">
        <x:v>https://procurement.my.site.com/servicehub/s/?language=en_US</x:v>
      </x:c>
      <x:c r="X107" s="14" t="str">
        <x:v>Official supplier service hub exists; CPO name appears in official supplier-award reporting.</x:v>
      </x:c>
      <x:c r="Y107" s="14" t="str">
        <x:v>Not Contacted</x:v>
      </x:c>
      <x:c r="Z107" s="14" t="str"/>
      <x:c r="AA107" s="22" t="str">
        <x:v>2026-07-10</x:v>
      </x:c>
    </x:row>
    <x:row r="108" ht="58" customHeight="1">
      <x:c r="A108" s="34" t="n">
        <x:v>107</x:v>
      </x:c>
      <x:c r="B108" s="35" t="str">
        <x:v>B</x:v>
      </x:c>
      <x:c r="C108" s="35" t="n">
        <x:v>84</x:v>
      </x:c>
      <x:c r="D108" s="35" t="str">
        <x:v>Pernod Ricard</x:v>
      </x:c>
      <x:c r="E108" s="35" t="str">
        <x:v>Premium spirits, liqueurs &amp; alcoholic beverages</x:v>
      </x:c>
      <x:c r="F108" s="35" t="str">
        <x:v>Public company</x:v>
      </x:c>
      <x:c r="G108" s="35" t="str">
        <x:v>Paris, France</x:v>
      </x:c>
      <x:c r="H108" s="35" t="str">
        <x:v>Global</x:v>
      </x:c>
      <x:c r="I108" s="35" t="str">
        <x:v>https://www.pernod-ricard.com</x:v>
      </x:c>
      <x:c r="J108" s="35" t="str">
        <x:v>https://www.pernod-ricard.com/en/contact</x:v>
      </x:c>
      <x:c r="K108" s="35" t="str">
        <x:v>ConsumerUS@support.pernod-ricard.com</x:v>
      </x:c>
      <x:c r="L108" s="35" t="str">
        <x:v>+1 212 625 5452</x:v>
      </x:c>
      <x:c r="M108" s="35" t="str">
        <x:v>Not publicly listed</x:v>
      </x:c>
      <x:c r="N108" s="35" t="str">
        <x:v>Sustainable procurement / flavor ingredient sourcing</x:v>
      </x:c>
      <x:c r="O108" s="35" t="str">
        <x:v>Kahlúa, Absolut, Malibu, Jameson, Martell, Havana Club</x:v>
      </x:c>
      <x:c r="P108" s="35" t="str">
        <x:v>High: vanilla in coffee liqueurs, rum, vodka flavors and cocktail products</x:v>
      </x:c>
      <x:c r="Q108" s="35" t="str">
        <x:v>Large premium spirits company; flavor ingredients fit but procurement is formal.</x:v>
      </x:c>
      <x:c r="R108" s="35" t="str">
        <x:v>Strategic/Large</x:v>
      </x:c>
      <x:c r="S108" s="35" t="str">
        <x:v>Slow</x:v>
      </x:c>
      <x:c r="T108" s="35" t="str">
        <x:v>Route through corporate contact and supplier standards/procurement network; target liqueur category.</x:v>
      </x:c>
      <x:c r="U108" s="35" t="str">
        <x:v>100g beans + spec sheet + COA</x:v>
      </x:c>
      <x:c r="V108" s="35" t="str">
        <x:v>Official contact form + LinkedIn procurement outreach</x:v>
      </x:c>
      <x:c r="W108" s="35" t="str">
        <x:v>https://www.pernod-ricard.com/en/locations/usa</x:v>
      </x:c>
      <x:c r="X108" s="35" t="str">
        <x:v>Public email is general/consumer; use only for routing, not procurement. Supplier standards public.</x:v>
      </x:c>
      <x:c r="Y108" s="35" t="str">
        <x:v>Not Contacted</x:v>
      </x:c>
      <x:c r="Z108" s="35" t="str"/>
      <x:c r="AA108" s="36" t="str">
        <x:v>2026-07-10</x:v>
      </x:c>
    </x:row>
    <x:row r="109" ht="58" customHeight="1">
      <x:c r="A109" s="21" t="n">
        <x:v>108</x:v>
      </x:c>
      <x:c r="B109" s="14" t="str">
        <x:v>B</x:v>
      </x:c>
      <x:c r="C109" s="14" t="n">
        <x:v>84</x:v>
      </x:c>
      <x:c r="D109" s="14" t="str">
        <x:v>Bacardi</x:v>
      </x:c>
      <x:c r="E109" s="14" t="str">
        <x:v>Premium spirits, liqueurs &amp; alcoholic beverages</x:v>
      </x:c>
      <x:c r="F109" s="14" t="str">
        <x:v>Private</x:v>
      </x:c>
      <x:c r="G109" s="14" t="str">
        <x:v>Hamilton, Bermuda / Coral Gables, Florida, USA</x:v>
      </x:c>
      <x:c r="H109" s="14" t="str">
        <x:v>Global</x:v>
      </x:c>
      <x:c r="I109" s="14" t="str">
        <x:v>https://www.bacardilimited.com</x:v>
      </x:c>
      <x:c r="J109" s="14" t="str">
        <x:v>https://www.bacardilimited.com/contact-us/</x:v>
      </x:c>
      <x:c r="K109" s="14" t="str">
        <x:v>Contact form only</x:v>
      </x:c>
      <x:c r="L109" s="14" t="str">
        <x:v>Not publicly listed</x:v>
      </x:c>
      <x:c r="M109" s="14" t="str">
        <x:v>Not publicly listed</x:v>
      </x:c>
      <x:c r="N109" s="14" t="str">
        <x:v>Global procurement / rum and flavor ingredients</x:v>
      </x:c>
      <x:c r="O109" s="14" t="str">
        <x:v>Bacardí, Patrón, Grey Goose, Bombay Sapphire, Martini, D'Ussé</x:v>
      </x:c>
      <x:c r="P109" s="14" t="str">
        <x:v>High: rum, flavored spirits and cocktail products can use vanilla notes</x:v>
      </x:c>
      <x:c r="Q109" s="14" t="str">
        <x:v>Largest privately held international spirits company with extensive brand portfolio.</x:v>
      </x:c>
      <x:c r="R109" s="14" t="str">
        <x:v>Strategic/Large</x:v>
      </x:c>
      <x:c r="S109" s="14" t="str">
        <x:v>Slow</x:v>
      </x:c>
      <x:c r="T109" s="14" t="str">
        <x:v>Target rum/liqueur innovation and procurement; pitch origin story and beverage testing.</x:v>
      </x:c>
      <x:c r="U109" s="14" t="str">
        <x:v>100g beans + spec sheet + COA</x:v>
      </x:c>
      <x:c r="V109" s="14" t="str">
        <x:v>Official contact form + LinkedIn procurement outreach</x:v>
      </x:c>
      <x:c r="W109" s="14" t="str">
        <x:v>https://www.bacardilimited.com/contact-us/</x:v>
      </x:c>
      <x:c r="X109" s="14" t="str">
        <x:v>Use official contact route; verify details before sending samples.</x:v>
      </x:c>
      <x:c r="Y109" s="14" t="str">
        <x:v>Not Contacted</x:v>
      </x:c>
      <x:c r="Z109" s="14" t="str"/>
      <x:c r="AA109" s="22" t="str">
        <x:v>2026-07-10</x:v>
      </x:c>
    </x:row>
    <x:row r="110" ht="58" customHeight="1">
      <x:c r="A110" s="34" t="n">
        <x:v>109</x:v>
      </x:c>
      <x:c r="B110" s="35" t="str">
        <x:v>B</x:v>
      </x:c>
      <x:c r="C110" s="35" t="n">
        <x:v>82</x:v>
      </x:c>
      <x:c r="D110" s="35" t="str">
        <x:v>Brown-Forman</x:v>
      </x:c>
      <x:c r="E110" s="35" t="str">
        <x:v>Premium spirits, liqueurs &amp; alcoholic beverages</x:v>
      </x:c>
      <x:c r="F110" s="35" t="str">
        <x:v>Public company</x:v>
      </x:c>
      <x:c r="G110" s="35" t="str">
        <x:v>Louisville, Kentucky, USA</x:v>
      </x:c>
      <x:c r="H110" s="35" t="str">
        <x:v>Global</x:v>
      </x:c>
      <x:c r="I110" s="35" t="str">
        <x:v>https://www.brown-forman.com</x:v>
      </x:c>
      <x:c r="J110" s="35" t="str">
        <x:v>https://www.brown-forman.com/contact-us</x:v>
      </x:c>
      <x:c r="K110" s="35" t="str">
        <x:v>brown-forman@b-f.com</x:v>
      </x:c>
      <x:c r="L110" s="35" t="str">
        <x:v>General corporate contact</x:v>
      </x:c>
      <x:c r="M110" s="35" t="str">
        <x:v>Tim Nall, EVP Chief Global Supply Chain and Technology Officer</x:v>
      </x:c>
      <x:c r="N110" s="35" t="str">
        <x:v>Global supply chain / flavor ingredient procurement</x:v>
      </x:c>
      <x:c r="O110" s="35" t="str">
        <x:v>Jack Daniel's, Woodford Reserve, Old Forester, Chambord, Herradura</x:v>
      </x:c>
      <x:c r="P110" s="35" t="str">
        <x:v>Medium-high: vanilla notes/flavors in whiskey, liqueurs and RTD cocktails</x:v>
      </x:c>
      <x:c r="Q110" s="35" t="str">
        <x:v>Premium spirits manufacturer with flavor innovation and supply-chain leadership.</x:v>
      </x:c>
      <x:c r="R110" s="35" t="str">
        <x:v>Large</x:v>
      </x:c>
      <x:c r="S110" s="35" t="str">
        <x:v>Slow</x:v>
      </x:c>
      <x:c r="T110" s="35" t="str">
        <x:v>Use corporate contact for routing and targeted LinkedIn procurement outreach.</x:v>
      </x:c>
      <x:c r="U110" s="35" t="str">
        <x:v>100g beans + spec sheet + COA</x:v>
      </x:c>
      <x:c r="V110" s="35" t="str">
        <x:v>Official contact form + LinkedIn procurement outreach</x:v>
      </x:c>
      <x:c r="W110" s="35" t="str">
        <x:v>https://www.brown-forman.com/contact-us</x:v>
      </x:c>
      <x:c r="X110" s="35" t="str">
        <x:v>Official contact page lists corporate email; leadership page lists supply chain executive.</x:v>
      </x:c>
      <x:c r="Y110" s="35" t="str">
        <x:v>Not Contacted</x:v>
      </x:c>
      <x:c r="Z110" s="35" t="str"/>
      <x:c r="AA110" s="36" t="str">
        <x:v>2026-07-10</x:v>
      </x:c>
    </x:row>
    <x:row r="111" ht="58" customHeight="1">
      <x:c r="A111" s="21" t="n">
        <x:v>110</x:v>
      </x:c>
      <x:c r="B111" s="14" t="str">
        <x:v>B</x:v>
      </x:c>
      <x:c r="C111" s="14" t="n">
        <x:v>82</x:v>
      </x:c>
      <x:c r="D111" s="14" t="str">
        <x:v>Suntory Global Spirits</x:v>
      </x:c>
      <x:c r="E111" s="14" t="str">
        <x:v>Premium spirits, liqueurs &amp; alcoholic beverages</x:v>
      </x:c>
      <x:c r="F111" s="14" t="str">
        <x:v>Suntory Holdings</x:v>
      </x:c>
      <x:c r="G111" s="14" t="str">
        <x:v>New York / Chicago / Tokyo</x:v>
      </x:c>
      <x:c r="H111" s="14" t="str">
        <x:v>Global</x:v>
      </x:c>
      <x:c r="I111" s="14" t="str">
        <x:v>https://www.suntoryglobalspirits.com</x:v>
      </x:c>
      <x:c r="J111" s="14" t="str">
        <x:v>https://www.suntoryglobalspirits.com/contact/</x:v>
      </x:c>
      <x:c r="K111" s="14" t="str">
        <x:v>Contact form only</x:v>
      </x:c>
      <x:c r="L111" s="14" t="str">
        <x:v>Not publicly listed</x:v>
      </x:c>
      <x:c r="M111" s="14" t="str">
        <x:v>Not publicly listed</x:v>
      </x:c>
      <x:c r="N111" s="14" t="str">
        <x:v>Procurement / innovation / flavor ingredients</x:v>
      </x:c>
      <x:c r="O111" s="14" t="str">
        <x:v>Jim Beam, Maker's Mark, Courvoisier, Roku, Yamazaki, Hibiki</x:v>
      </x:c>
      <x:c r="P111" s="14" t="str">
        <x:v>Medium-high: vanilla notes in bourbon/whisky and flavored products</x:v>
      </x:c>
      <x:c r="Q111" s="14" t="str">
        <x:v>Large premium spirits group; potential strategic buyer through innovation teams.</x:v>
      </x:c>
      <x:c r="R111" s="14" t="str">
        <x:v>Large</x:v>
      </x:c>
      <x:c r="S111" s="14" t="str">
        <x:v>Slow</x:v>
      </x:c>
      <x:c r="T111" s="14" t="str">
        <x:v>Pitch to innovation/procurement as beverage-grade natural vanilla option.</x:v>
      </x:c>
      <x:c r="U111" s="14" t="str">
        <x:v>100g beans + spec sheet + COA</x:v>
      </x:c>
      <x:c r="V111" s="14" t="str">
        <x:v>Official contact form + LinkedIn procurement outreach</x:v>
      </x:c>
      <x:c r="W111" s="14" t="str">
        <x:v>https://www.suntoryglobalspirits.com/contact/</x:v>
      </x:c>
      <x:c r="X111" s="14" t="str">
        <x:v>Use official contact route; verify details before sending samples.</x:v>
      </x:c>
      <x:c r="Y111" s="14" t="str">
        <x:v>Not Contacted</x:v>
      </x:c>
      <x:c r="Z111" s="14" t="str"/>
      <x:c r="AA111" s="22" t="str">
        <x:v>2026-07-10</x:v>
      </x:c>
    </x:row>
    <x:row r="112" ht="58" customHeight="1">
      <x:c r="A112" s="34" t="n">
        <x:v>111</x:v>
      </x:c>
      <x:c r="B112" s="35" t="str">
        <x:v>B</x:v>
      </x:c>
      <x:c r="C112" s="35" t="n">
        <x:v>79</x:v>
      </x:c>
      <x:c r="D112" s="35" t="str">
        <x:v>Rémy Cointreau</x:v>
      </x:c>
      <x:c r="E112" s="35" t="str">
        <x:v>Premium spirits, liqueurs &amp; alcoholic beverages</x:v>
      </x:c>
      <x:c r="F112" s="35" t="str">
        <x:v>Public company</x:v>
      </x:c>
      <x:c r="G112" s="35" t="str">
        <x:v>Paris / Cognac, France</x:v>
      </x:c>
      <x:c r="H112" s="35" t="str">
        <x:v>Global</x:v>
      </x:c>
      <x:c r="I112" s="35" t="str">
        <x:v>https://www.remy-cointreau.com</x:v>
      </x:c>
      <x:c r="J112" s="35" t="str">
        <x:v>https://www.remy-cointreau.com/en/contact/</x:v>
      </x:c>
      <x:c r="K112" s="35" t="str">
        <x:v>Contact form only</x:v>
      </x:c>
      <x:c r="L112" s="35" t="str">
        <x:v>Not publicly listed</x:v>
      </x:c>
      <x:c r="M112" s="35" t="str">
        <x:v>Not publicly listed</x:v>
      </x:c>
      <x:c r="N112" s="35" t="str">
        <x:v>Procurement / liqueur innovation / natural ingredients</x:v>
      </x:c>
      <x:c r="O112" s="35" t="str">
        <x:v>Rémy Martin, Cointreau, Mount Gay, The Botanist, St-Rémy</x:v>
      </x:c>
      <x:c r="P112" s="35" t="str">
        <x:v>Medium-high: liqueurs and rum products can use vanilla/botanical notes</x:v>
      </x:c>
      <x:c r="Q112" s="35" t="str">
        <x:v>Premium spirits house with brand emphasis on provenance and quality.</x:v>
      </x:c>
      <x:c r="R112" s="35" t="str">
        <x:v>Medium</x:v>
      </x:c>
      <x:c r="S112" s="35" t="str">
        <x:v>Slow</x:v>
      </x:c>
      <x:c r="T112" s="35" t="str">
        <x:v>French/English outreach; target natural ingredients/category procurement.</x:v>
      </x:c>
      <x:c r="U112" s="35" t="str">
        <x:v>100g beans + spec sheet + COA</x:v>
      </x:c>
      <x:c r="V112" s="35" t="str">
        <x:v>Official contact form + LinkedIn procurement outreach</x:v>
      </x:c>
      <x:c r="W112" s="35" t="str">
        <x:v>https://www.remy-cointreau.com/en/contact/</x:v>
      </x:c>
      <x:c r="X112" s="35" t="str">
        <x:v>Use official contact route; verify details before sending samples.</x:v>
      </x:c>
      <x:c r="Y112" s="35" t="str">
        <x:v>Not Contacted</x:v>
      </x:c>
      <x:c r="Z112" s="35" t="str"/>
      <x:c r="AA112" s="36" t="str">
        <x:v>2026-07-10</x:v>
      </x:c>
    </x:row>
    <x:row r="113" ht="58" customHeight="1">
      <x:c r="A113" s="21" t="n">
        <x:v>112</x:v>
      </x:c>
      <x:c r="B113" s="14" t="str">
        <x:v>B</x:v>
      </x:c>
      <x:c r="C113" s="14" t="n">
        <x:v>82</x:v>
      </x:c>
      <x:c r="D113" s="14" t="str">
        <x:v>Campari Group</x:v>
      </x:c>
      <x:c r="E113" s="14" t="str">
        <x:v>Premium spirits, liqueurs &amp; alcoholic beverages</x:v>
      </x:c>
      <x:c r="F113" s="14" t="str">
        <x:v>Public company</x:v>
      </x:c>
      <x:c r="G113" s="14" t="str">
        <x:v>Milan, Italy</x:v>
      </x:c>
      <x:c r="H113" s="14" t="str">
        <x:v>Global</x:v>
      </x:c>
      <x:c r="I113" s="14" t="str">
        <x:v>https://www.camparigroup.com</x:v>
      </x:c>
      <x:c r="J113" s="14" t="str">
        <x:v>https://www.camparigroup.com/en/contact</x:v>
      </x:c>
      <x:c r="K113" s="14" t="str">
        <x:v>Contact form only</x:v>
      </x:c>
      <x:c r="L113" s="14" t="str">
        <x:v>Not publicly listed</x:v>
      </x:c>
      <x:c r="M113" s="14" t="str">
        <x:v>Not publicly listed</x:v>
      </x:c>
      <x:c r="N113" s="14" t="str">
        <x:v>Procurement / flavor ingredients / liqueur R&amp;D</x:v>
      </x:c>
      <x:c r="O113" s="14" t="str">
        <x:v>Campari, Aperol, Grand Marnier, Wild Turkey, Espolòn, SKYY</x:v>
      </x:c>
      <x:c r="P113" s="14" t="str">
        <x:v>Medium-high: liqueurs, flavored spirits and cocktail products</x:v>
      </x:c>
      <x:c r="Q113" s="14" t="str">
        <x:v>Large beverage alcohol company with botanical/flavor ingredient needs.</x:v>
      </x:c>
      <x:c r="R113" s="14" t="str">
        <x:v>Large</x:v>
      </x:c>
      <x:c r="S113" s="14" t="str">
        <x:v>Slow</x:v>
      </x:c>
      <x:c r="T113" s="14" t="str">
        <x:v>Pitch beverage-grade vanilla for premium liqueur/cocktail innovation.</x:v>
      </x:c>
      <x:c r="U113" s="14" t="str">
        <x:v>100g beans + spec sheet + COA</x:v>
      </x:c>
      <x:c r="V113" s="14" t="str">
        <x:v>Official contact form + LinkedIn procurement outreach</x:v>
      </x:c>
      <x:c r="W113" s="14" t="str">
        <x:v>https://www.camparigroup.com/en/contact</x:v>
      </x:c>
      <x:c r="X113" s="14" t="str">
        <x:v>Use official contact route; verify details before sending samples.</x:v>
      </x:c>
      <x:c r="Y113" s="14" t="str">
        <x:v>Not Contacted</x:v>
      </x:c>
      <x:c r="Z113" s="14" t="str"/>
      <x:c r="AA113" s="22" t="str">
        <x:v>2026-07-10</x:v>
      </x:c>
    </x:row>
    <x:row r="114" ht="58" customHeight="1">
      <x:c r="A114" s="34" t="n">
        <x:v>113</x:v>
      </x:c>
      <x:c r="B114" s="35" t="str">
        <x:v>C</x:v>
      </x:c>
      <x:c r="C114" s="35" t="n">
        <x:v>69</x:v>
      </x:c>
      <x:c r="D114" s="35" t="str">
        <x:v>LVMH Moët Hennessy</x:v>
      </x:c>
      <x:c r="E114" s="35" t="str">
        <x:v>Premium spirits, liqueurs &amp; alcoholic beverages</x:v>
      </x:c>
      <x:c r="F114" s="35" t="str">
        <x:v>LVMH</x:v>
      </x:c>
      <x:c r="G114" s="35" t="str">
        <x:v>Paris, France</x:v>
      </x:c>
      <x:c r="H114" s="35" t="str">
        <x:v>Global luxury</x:v>
      </x:c>
      <x:c r="I114" s="35" t="str">
        <x:v>https://www.lvmh.com</x:v>
      </x:c>
      <x:c r="J114" s="35" t="str">
        <x:v>https://www.lvmh.com/contact</x:v>
      </x:c>
      <x:c r="K114" s="35" t="str">
        <x:v>Contact form only</x:v>
      </x:c>
      <x:c r="L114" s="35" t="str">
        <x:v>Not publicly listed</x:v>
      </x:c>
      <x:c r="M114" s="35" t="str">
        <x:v>Not publicly listed</x:v>
      </x:c>
      <x:c r="N114" s="35" t="str">
        <x:v>Moët Hennessy procurement / natural ingredients</x:v>
      </x:c>
      <x:c r="O114" s="35" t="str">
        <x:v>Hennessy, Glenmorangie, Belvedere, Ardbeg, Volcán de Mi Tierra</x:v>
      </x:c>
      <x:c r="P114" s="35" t="str">
        <x:v>Medium: vanilla notes in spirits; possible use in flavored/luxury beverage projects</x:v>
      </x:c>
      <x:c r="Q114" s="35" t="str">
        <x:v>Luxury beverage group; strategic prestige target, slow qualification.</x:v>
      </x:c>
      <x:c r="R114" s="35" t="str">
        <x:v>Medium</x:v>
      </x:c>
      <x:c r="S114" s="35" t="str">
        <x:v>Slow</x:v>
      </x:c>
      <x:c r="T114" s="35" t="str">
        <x:v>Only pursue with premium/luxury story and full documentation; target innovation not commodity buying.</x:v>
      </x:c>
      <x:c r="U114" s="35" t="str">
        <x:v>100g beans + spec sheet + COA</x:v>
      </x:c>
      <x:c r="V114" s="35" t="str">
        <x:v>Official contact form + LinkedIn procurement outreach</x:v>
      </x:c>
      <x:c r="W114" s="35" t="str">
        <x:v>https://www.lvmh.com/contact</x:v>
      </x:c>
      <x:c r="X114" s="35" t="str">
        <x:v>Use official contact route; verify details before sending samples.</x:v>
      </x:c>
      <x:c r="Y114" s="35" t="str">
        <x:v>Not Contacted</x:v>
      </x:c>
      <x:c r="Z114" s="35" t="str"/>
      <x:c r="AA114" s="36" t="str">
        <x:v>2026-07-10</x:v>
      </x:c>
    </x:row>
    <x:row r="115" ht="58" customHeight="1">
      <x:c r="A115" s="21" t="n">
        <x:v>114</x:v>
      </x:c>
      <x:c r="B115" s="14" t="str">
        <x:v>A</x:v>
      </x:c>
      <x:c r="C115" s="14" t="n">
        <x:v>96</x:v>
      </x:c>
      <x:c r="D115" s="14" t="str">
        <x:v>Sazerac Company</x:v>
      </x:c>
      <x:c r="E115" s="14" t="str">
        <x:v>Premium spirits, liqueurs &amp; alcoholic beverages</x:v>
      </x:c>
      <x:c r="F115" s="14" t="str">
        <x:v>Private</x:v>
      </x:c>
      <x:c r="G115" s="14" t="str">
        <x:v>New Orleans, Louisiana / Louisville, Kentucky, USA</x:v>
      </x:c>
      <x:c r="H115" s="14" t="str">
        <x:v>Global</x:v>
      </x:c>
      <x:c r="I115" s="14" t="str">
        <x:v>https://www.sazerac.com</x:v>
      </x:c>
      <x:c r="J115" s="14" t="str">
        <x:v>https://www.sazerac.com/contact.html</x:v>
      </x:c>
      <x:c r="K115" s="14" t="str">
        <x:v>Contact form only</x:v>
      </x:c>
      <x:c r="L115" s="14" t="str">
        <x:v>Not publicly listed</x:v>
      </x:c>
      <x:c r="M115" s="14" t="str">
        <x:v>Not publicly listed</x:v>
      </x:c>
      <x:c r="N115" s="14" t="str">
        <x:v>Procurement / flavor ingredients / product development</x:v>
      </x:c>
      <x:c r="O115" s="14" t="str">
        <x:v>Buffalo Trace, Fireball, Southern Comfort, Sazerac Rye, liqueurs and RTD</x:v>
      </x:c>
      <x:c r="P115" s="14" t="str">
        <x:v>High: flavored whisky/liqueurs and RTD products can use vanilla</x:v>
      </x:c>
      <x:c r="Q115" s="14" t="str">
        <x:v>Large private spirits company with broad flavored products.</x:v>
      </x:c>
      <x:c r="R115" s="14" t="str">
        <x:v>Large</x:v>
      </x:c>
      <x:c r="S115" s="14" t="str">
        <x:v>Medium</x:v>
      </x:c>
      <x:c r="T115" s="14" t="str">
        <x:v>Target procurement and flavored spirits innovation teams; offer beverage-grade sample.</x:v>
      </x:c>
      <x:c r="U115" s="14" t="str">
        <x:v>100g beans + spec sheet + COA</x:v>
      </x:c>
      <x:c r="V115" s="14" t="str">
        <x:v>Official contact form + LinkedIn procurement outreach</x:v>
      </x:c>
      <x:c r="W115" s="14" t="str">
        <x:v>https://www.sazerac.com/contact.html</x:v>
      </x:c>
      <x:c r="X115" s="14" t="str">
        <x:v>Use official contact route; verify details before sending samples.</x:v>
      </x:c>
      <x:c r="Y115" s="14" t="str">
        <x:v>Not Contacted</x:v>
      </x:c>
      <x:c r="Z115" s="14" t="str"/>
      <x:c r="AA115" s="22" t="str">
        <x:v>2026-07-10</x:v>
      </x:c>
    </x:row>
    <x:row r="116" ht="58" customHeight="1">
      <x:c r="A116" s="34" t="n">
        <x:v>115</x:v>
      </x:c>
      <x:c r="B116" s="35" t="str">
        <x:v>A</x:v>
      </x:c>
      <x:c r="C116" s="35" t="n">
        <x:v>93</x:v>
      </x:c>
      <x:c r="D116" s="35" t="str">
        <x:v>Lucas Bols</x:v>
      </x:c>
      <x:c r="E116" s="35" t="str">
        <x:v>Premium spirits, liqueurs &amp; alcoholic beverages</x:v>
      </x:c>
      <x:c r="F116" s="35" t="str">
        <x:v>Nolet / Lucas Bols</x:v>
      </x:c>
      <x:c r="G116" s="35" t="str">
        <x:v>Amsterdam, Netherlands</x:v>
      </x:c>
      <x:c r="H116" s="35" t="str">
        <x:v>Global</x:v>
      </x:c>
      <x:c r="I116" s="35" t="str">
        <x:v>https://www.lucasbols.com</x:v>
      </x:c>
      <x:c r="J116" s="35" t="str">
        <x:v>https://www.lucasbols.com/contact/</x:v>
      </x:c>
      <x:c r="K116" s="35" t="str">
        <x:v>Contact form only</x:v>
      </x:c>
      <x:c r="L116" s="35" t="str">
        <x:v>Not publicly listed</x:v>
      </x:c>
      <x:c r="M116" s="35" t="str">
        <x:v>Not publicly listed</x:v>
      </x:c>
      <x:c r="N116" s="35" t="str">
        <x:v>Liqueur ingredient procurement / R&amp;D</x:v>
      </x:c>
      <x:c r="O116" s="35" t="str">
        <x:v>Bols liqueurs, Damrak Gin, Galliano</x:v>
      </x:c>
      <x:c r="P116" s="35" t="str">
        <x:v>Very high: liqueur portfolio includes vanilla-compatible flavor systems</x:v>
      </x:c>
      <x:c r="Q116" s="35" t="str">
        <x:v>Specialist liqueur producer; likely more directly relevant than broad spirits groups.</x:v>
      </x:c>
      <x:c r="R116" s="35" t="str">
        <x:v>Medium</x:v>
      </x:c>
      <x:c r="S116" s="35" t="str">
        <x:v>Medium</x:v>
      </x:c>
      <x:c r="T116" s="35" t="str">
        <x:v>Pitch vanilla for premium liqueur and cocktail ingredient applications.</x:v>
      </x:c>
      <x:c r="U116" s="35" t="str">
        <x:v>100g beans + spec sheet + COA</x:v>
      </x:c>
      <x:c r="V116" s="35" t="str">
        <x:v>Official contact form + LinkedIn procurement outreach</x:v>
      </x:c>
      <x:c r="W116" s="35" t="str">
        <x:v>https://www.lucasbols.com/contact/</x:v>
      </x:c>
      <x:c r="X116" s="35" t="str">
        <x:v>Use official contact route; verify details before sending samples.</x:v>
      </x:c>
      <x:c r="Y116" s="35" t="str">
        <x:v>Not Contacted</x:v>
      </x:c>
      <x:c r="Z116" s="35" t="str"/>
      <x:c r="AA116" s="36" t="str">
        <x:v>2026-07-10</x:v>
      </x:c>
    </x:row>
    <x:row r="117" ht="58" customHeight="1">
      <x:c r="A117" s="21" t="n">
        <x:v>116</x:v>
      </x:c>
      <x:c r="B117" s="14" t="str">
        <x:v>A</x:v>
      </x:c>
      <x:c r="C117" s="14" t="n">
        <x:v>93</x:v>
      </x:c>
      <x:c r="D117" s="14" t="str">
        <x:v>Giffard</x:v>
      </x:c>
      <x:c r="E117" s="14" t="str">
        <x:v>Premium spirits, liqueurs &amp; alcoholic beverages</x:v>
      </x:c>
      <x:c r="F117" s="14" t="str">
        <x:v>Family-owned</x:v>
      </x:c>
      <x:c r="G117" s="14" t="str">
        <x:v>Avrillé, France</x:v>
      </x:c>
      <x:c r="H117" s="14" t="str">
        <x:v>Europe / global bartending</x:v>
      </x:c>
      <x:c r="I117" s="14" t="str">
        <x:v>https://www.giffard.com</x:v>
      </x:c>
      <x:c r="J117" s="14" t="str">
        <x:v>https://www.giffard.com/en/contact/</x:v>
      </x:c>
      <x:c r="K117" s="14" t="str">
        <x:v>Contact form only</x:v>
      </x:c>
      <x:c r="L117" s="14" t="str">
        <x:v>Not publicly listed</x:v>
      </x:c>
      <x:c r="M117" s="14" t="str">
        <x:v>Not publicly listed</x:v>
      </x:c>
      <x:c r="N117" s="14" t="str">
        <x:v>Natural ingredient procurement / liqueur R&amp;D</x:v>
      </x:c>
      <x:c r="O117" s="14" t="str">
        <x:v>Premium liqueurs, syrups, concentrates, cocktail ingredients</x:v>
      </x:c>
      <x:c r="P117" s="14" t="str">
        <x:v>Very high: liqueurs and syrups use botanical/flavor ingredients including vanilla profiles</x:v>
      </x:c>
      <x:c r="Q117" s="14" t="str">
        <x:v>Family-owned premium liqueur/syrup manufacturer; possible direct ingredient evaluation.</x:v>
      </x:c>
      <x:c r="R117" s="14" t="str">
        <x:v>Medium</x:v>
      </x:c>
      <x:c r="S117" s="14" t="str">
        <x:v>Medium</x:v>
      </x:c>
      <x:c r="T117" s="14" t="str">
        <x:v>French/English outreach with beverage-grade vanilla sample and sensory data.</x:v>
      </x:c>
      <x:c r="U117" s="14" t="str">
        <x:v>100g beans + spec sheet + COA</x:v>
      </x:c>
      <x:c r="V117" s="14" t="str">
        <x:v>Official contact form + LinkedIn procurement outreach</x:v>
      </x:c>
      <x:c r="W117" s="14" t="str">
        <x:v>https://www.giffard.com/en/contact/</x:v>
      </x:c>
      <x:c r="X117" s="14" t="str">
        <x:v>Use official contact route; verify details before sending samples.</x:v>
      </x:c>
      <x:c r="Y117" s="14" t="str">
        <x:v>Not Contacted</x:v>
      </x:c>
      <x:c r="Z117" s="14" t="str"/>
      <x:c r="AA117" s="22" t="str">
        <x:v>2026-07-10</x:v>
      </x:c>
    </x:row>
    <x:row r="118" ht="58" customHeight="1">
      <x:c r="A118" s="34" t="n">
        <x:v>117</x:v>
      </x:c>
      <x:c r="B118" s="35" t="str">
        <x:v>B</x:v>
      </x:c>
      <x:c r="C118" s="35" t="n">
        <x:v>79</x:v>
      </x:c>
      <x:c r="D118" s="35" t="str">
        <x:v>Maison Ferrand / Planteray Rum</x:v>
      </x:c>
      <x:c r="E118" s="35" t="str">
        <x:v>Premium spirits, liqueurs &amp; alcoholic beverages</x:v>
      </x:c>
      <x:c r="F118" s="35" t="str">
        <x:v>Private</x:v>
      </x:c>
      <x:c r="G118" s="35" t="str">
        <x:v>Ars, Cognac, France</x:v>
      </x:c>
      <x:c r="H118" s="35" t="str">
        <x:v>Europe / USA / global</x:v>
      </x:c>
      <x:c r="I118" s="35" t="str">
        <x:v>https://maisonferrand.com</x:v>
      </x:c>
      <x:c r="J118" s="35" t="str">
        <x:v>https://maisonferrand.com/en/contact/</x:v>
      </x:c>
      <x:c r="K118" s="35" t="str">
        <x:v>Contact form only</x:v>
      </x:c>
      <x:c r="L118" s="35" t="str">
        <x:v>Not publicly listed</x:v>
      </x:c>
      <x:c r="M118" s="35" t="str">
        <x:v>Not publicly listed</x:v>
      </x:c>
      <x:c r="N118" s="35" t="str">
        <x:v>Rum/cognac innovation / natural ingredients sourcing</x:v>
      </x:c>
      <x:c r="O118" s="35" t="str">
        <x:v>Citadelle Gin, Ferrand Cognac, Planteray Rum, Dry Curaçao</x:v>
      </x:c>
      <x:c r="P118" s="35" t="str">
        <x:v>Medium-high: rum and curaçao/cocktail spirits can use vanilla notes</x:v>
      </x:c>
      <x:c r="Q118" s="35" t="str">
        <x:v>Premium spirits innovator; strong fit for origin story and sensory quality.</x:v>
      </x:c>
      <x:c r="R118" s="35" t="str">
        <x:v>Specialty</x:v>
      </x:c>
      <x:c r="S118" s="35" t="str">
        <x:v>Medium</x:v>
      </x:c>
      <x:c r="T118" s="35" t="str">
        <x:v>Pitch for limited rum/liqueur development and natural vanilla maceration trials.</x:v>
      </x:c>
      <x:c r="U118" s="35" t="str">
        <x:v>100g beans + spec sheet + COA</x:v>
      </x:c>
      <x:c r="V118" s="35" t="str">
        <x:v>Official contact form + LinkedIn procurement outreach</x:v>
      </x:c>
      <x:c r="W118" s="35" t="str">
        <x:v>https://maisonferrand.com/en/contact/</x:v>
      </x:c>
      <x:c r="X118" s="35" t="str">
        <x:v>Use official contact route; verify details before sending samples.</x:v>
      </x:c>
      <x:c r="Y118" s="35" t="str">
        <x:v>Not Contacted</x:v>
      </x:c>
      <x:c r="Z118" s="35" t="str"/>
      <x:c r="AA118" s="36" t="str">
        <x:v>2026-07-10</x:v>
      </x:c>
    </x:row>
    <x:row r="119" ht="58" customHeight="1">
      <x:c r="A119" s="21" t="n">
        <x:v>118</x:v>
      </x:c>
      <x:c r="B119" s="14" t="str">
        <x:v>A</x:v>
      </x:c>
      <x:c r="C119" s="14" t="n">
        <x:v>93</x:v>
      </x:c>
      <x:c r="D119" s="14" t="str">
        <x:v>Zamora Company / Licor 43</x:v>
      </x:c>
      <x:c r="E119" s="14" t="str">
        <x:v>Premium spirits, liqueurs &amp; alcoholic beverages</x:v>
      </x:c>
      <x:c r="F119" s="14" t="str">
        <x:v>Family-owned</x:v>
      </x:c>
      <x:c r="G119" s="14" t="str">
        <x:v>Cartagena / Madrid, Spain</x:v>
      </x:c>
      <x:c r="H119" s="14" t="str">
        <x:v>Europe / global</x:v>
      </x:c>
      <x:c r="I119" s="14" t="str">
        <x:v>https://www.zamoracompany.com</x:v>
      </x:c>
      <x:c r="J119" s="14" t="str">
        <x:v>https://www.zamoracompany.com/en/contact/</x:v>
      </x:c>
      <x:c r="K119" s="14" t="str">
        <x:v>Contact form only</x:v>
      </x:c>
      <x:c r="L119" s="14" t="str">
        <x:v>Not publicly listed</x:v>
      </x:c>
      <x:c r="M119" s="14" t="str">
        <x:v>Not publicly listed</x:v>
      </x:c>
      <x:c r="N119" s="14" t="str">
        <x:v>Liqueur ingredient procurement / R&amp;D</x:v>
      </x:c>
      <x:c r="O119" s="14" t="str">
        <x:v>Licor 43, Villa Massa, Martin Miller's Gin, Ramón Bilbao wines</x:v>
      </x:c>
      <x:c r="P119" s="14" t="str">
        <x:v>Very high: Licor 43 is a vanilla-forward liqueur profile</x:v>
      </x:c>
      <x:c r="Q119" s="14" t="str">
        <x:v>Direct flavor relevance; medium volume but high fit.</x:v>
      </x:c>
      <x:c r="R119" s="14" t="str">
        <x:v>Medium</x:v>
      </x:c>
      <x:c r="S119" s="14" t="str">
        <x:v>Medium</x:v>
      </x:c>
      <x:c r="T119" s="14" t="str">
        <x:v>Spanish/English outreach; pitch Ecuador vanilla for liqueur quality and origin story.</x:v>
      </x:c>
      <x:c r="U119" s="14" t="str">
        <x:v>100g beans + spec sheet + COA</x:v>
      </x:c>
      <x:c r="V119" s="14" t="str">
        <x:v>Official contact form + LinkedIn procurement outreach</x:v>
      </x:c>
      <x:c r="W119" s="14" t="str">
        <x:v>https://www.zamoracompany.com/en/contact/</x:v>
      </x:c>
      <x:c r="X119" s="14" t="str">
        <x:v>Use official contact route; verify details before sending samples.</x:v>
      </x:c>
      <x:c r="Y119" s="14" t="str">
        <x:v>Not Contacted</x:v>
      </x:c>
      <x:c r="Z119" s="14" t="str"/>
      <x:c r="AA119" s="22" t="str">
        <x:v>2026-07-10</x:v>
      </x:c>
    </x:row>
    <x:row r="120" ht="58" customHeight="1">
      <x:c r="A120" s="34" t="n">
        <x:v>119</x:v>
      </x:c>
      <x:c r="B120" s="35" t="str">
        <x:v>B</x:v>
      </x:c>
      <x:c r="C120" s="35" t="n">
        <x:v>79</x:v>
      </x:c>
      <x:c r="D120" s="35" t="str">
        <x:v>Mast-Jägermeister</x:v>
      </x:c>
      <x:c r="E120" s="35" t="str">
        <x:v>Premium spirits, liqueurs &amp; alcoholic beverages</x:v>
      </x:c>
      <x:c r="F120" s="35" t="str">
        <x:v>Family-owned</x:v>
      </x:c>
      <x:c r="G120" s="35" t="str">
        <x:v>Wolfenbüttel, Germany</x:v>
      </x:c>
      <x:c r="H120" s="35" t="str">
        <x:v>Global</x:v>
      </x:c>
      <x:c r="I120" s="35" t="str">
        <x:v>https://www.jagermeister.com</x:v>
      </x:c>
      <x:c r="J120" s="35" t="str">
        <x:v>https://www.jagermeister.com/en/contact</x:v>
      </x:c>
      <x:c r="K120" s="35" t="str">
        <x:v>Contact form only</x:v>
      </x:c>
      <x:c r="L120" s="35" t="str">
        <x:v>Not publicly listed</x:v>
      </x:c>
      <x:c r="M120" s="35" t="str">
        <x:v>Not publicly listed</x:v>
      </x:c>
      <x:c r="N120" s="35" t="str">
        <x:v>Botanical ingredient procurement / quality</x:v>
      </x:c>
      <x:c r="O120" s="35" t="str">
        <x:v>Jägermeister herbal liqueur and line extensions</x:v>
      </x:c>
      <x:c r="P120" s="35" t="str">
        <x:v>Medium-high: botanical liqueurs use complex natural flavor inputs</x:v>
      </x:c>
      <x:c r="Q120" s="35" t="str">
        <x:v>Herbal liqueur specialist with high ingredient-quality standards.</x:v>
      </x:c>
      <x:c r="R120" s="35" t="str">
        <x:v>Medium</x:v>
      </x:c>
      <x:c r="S120" s="35" t="str">
        <x:v>Slow</x:v>
      </x:c>
      <x:c r="T120" s="35" t="str">
        <x:v>Pitch as natural botanical vanilla component with full contaminant/pesticide documentation.</x:v>
      </x:c>
      <x:c r="U120" s="35" t="str">
        <x:v>100g beans + spec sheet + COA</x:v>
      </x:c>
      <x:c r="V120" s="35" t="str">
        <x:v>Official contact form + LinkedIn procurement outreach</x:v>
      </x:c>
      <x:c r="W120" s="35" t="str">
        <x:v>https://www.jagermeister.com/en/contact</x:v>
      </x:c>
      <x:c r="X120" s="35" t="str">
        <x:v>Use official contact route; verify details before sending samples.</x:v>
      </x:c>
      <x:c r="Y120" s="35" t="str">
        <x:v>Not Contacted</x:v>
      </x:c>
      <x:c r="Z120" s="35" t="str"/>
      <x:c r="AA120" s="36" t="str">
        <x:v>2026-07-10</x:v>
      </x:c>
    </x:row>
    <x:row r="121" ht="58" customHeight="1">
      <x:c r="A121" s="23" t="n">
        <x:v>120</x:v>
      </x:c>
      <x:c r="B121" s="24" t="str">
        <x:v>A</x:v>
      </x:c>
      <x:c r="C121" s="24" t="n">
        <x:v>92</x:v>
      </x:c>
      <x:c r="D121" s="24" t="str">
        <x:v>Tempus Fugit Spirits</x:v>
      </x:c>
      <x:c r="E121" s="24" t="str">
        <x:v>Premium spirits, liqueurs &amp; alcoholic beverages</x:v>
      </x:c>
      <x:c r="F121" s="24" t="str">
        <x:v>Private</x:v>
      </x:c>
      <x:c r="G121" s="24" t="str">
        <x:v>California / Switzerland</x:v>
      </x:c>
      <x:c r="H121" s="24" t="str">
        <x:v>USA / Europe</x:v>
      </x:c>
      <x:c r="I121" s="24" t="str">
        <x:v>https://www.tempusfugitspirits.com</x:v>
      </x:c>
      <x:c r="J121" s="24" t="str">
        <x:v>https://www.tempusfugitspirits.com/contact</x:v>
      </x:c>
      <x:c r="K121" s="24" t="str">
        <x:v>Contact form only</x:v>
      </x:c>
      <x:c r="L121" s="24" t="str">
        <x:v>Not publicly listed</x:v>
      </x:c>
      <x:c r="M121" s="24" t="str">
        <x:v>Not publicly listed</x:v>
      </x:c>
      <x:c r="N121" s="24" t="str">
        <x:v>Founder/production / natural ingredient sourcing</x:v>
      </x:c>
      <x:c r="O121" s="24" t="str">
        <x:v>Historic liqueurs, crème de cacao, crème de menthe, specialty spirits</x:v>
      </x:c>
      <x:c r="P121" s="24" t="str">
        <x:v>High: specialty liqueurs may use real botanicals and natural flavor ingredients</x:v>
      </x:c>
      <x:c r="Q121" s="24" t="str">
        <x:v>Small premium liqueur specialist; can be a high-margin niche buyer or reference account.</x:v>
      </x:c>
      <x:c r="R121" s="24" t="str">
        <x:v>Specialty</x:v>
      </x:c>
      <x:c r="S121" s="24" t="str">
        <x:v>Fast</x:v>
      </x:c>
      <x:c r="T121" s="24" t="str">
        <x:v>Pitch real Ecuador vanilla as a craft liqueur ingredient; offer small pilot lot.</x:v>
      </x:c>
      <x:c r="U121" s="24" t="str">
        <x:v>100g beans + spec sheet + COA</x:v>
      </x:c>
      <x:c r="V121" s="24" t="str">
        <x:v>Official contact form + LinkedIn procurement outreach</x:v>
      </x:c>
      <x:c r="W121" s="24" t="str">
        <x:v>https://www.tempusfugitspirits.com/contact</x:v>
      </x:c>
      <x:c r="X121" s="24" t="str">
        <x:v>Use official contact route; verify details before sending samples.</x:v>
      </x:c>
      <x:c r="Y121" s="24" t="str">
        <x:v>Not Contacted</x:v>
      </x:c>
      <x:c r="Z121" s="24" t="str"/>
      <x:c r="AA121" s="25" t="str">
        <x:v>2026-07-10</x:v>
      </x:c>
    </x:row>
  </x:sheetData>
  <x:conditionalFormatting sqref="B2:B121">
    <x:cfRule type="expression" dxfId="0" priority="1">
      <x:formula>B2="A"</x:formula>
    </x:cfRule>
    <x:cfRule type="expression" dxfId="1" priority="2">
      <x:formula>B2="B"</x:formula>
    </x:cfRule>
    <x:cfRule type="expression" dxfId="2" priority="3">
      <x:formula>B2="C"</x:formula>
    </x:cfRule>
  </x:conditionalFormatting>
  <x:conditionalFormatting sqref="C2:C121">
    <x:cfRule type="dataBar" priority="4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{CE619257-7C40-E92A-69A4-FB151422A146}</x14:id>
        </x:ext>
      </x:extLst>
    </x:cfRule>
  </x:conditionalFormatting>
  <x:conditionalFormatting sqref="S2:S121">
    <x:cfRule type="expression" dxfId="3" priority="5">
      <x:formula>S2="Fast"</x:formula>
    </x:cfRule>
  </x:conditionalFormatting>
  <x:conditionalFormatting sqref="Y2:Y121">
    <x:cfRule type="expression" dxfId="4" priority="6">
      <x:formula>Y2="Not Contacted"</x:formula>
    </x:cfRule>
  </x:conditionalFormatting>
  <x:dataValidations count="3">
    <x:dataValidation type="list" sqref="Y2:Y121">
      <x:formula1>"Not Contacted,Email Sent,LinkedIn Sent,Replied,Sample Requested,Sample Sent,In Review,Quoted,Negotiating,Won,Lost,Follow-up"</x:formula1>
    </x:dataValidation>
    <x:dataValidation type="list" sqref="B2:B121">
      <x:formula1>"A,B,C"</x:formula1>
    </x:dataValidation>
    <x:dataValidation type="list" sqref="S2:S121">
      <x:formula1>"Fast,Medium,Slow"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c943e4be2048b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CE619257-7C40-E92A-69A4-FB151422A146}">
            <x14:dataBar gradient="1">
              <x14:cfvo type="min"/>
              <x14:cfvo type="max"/>
              <x14:fillColor rgb="FF0F766E"/>
            </x14:dataBar>
          </x14:cfRule>
          <xm:sqref>C2:C121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8" hidden="0" customWidth="1"/>
    <x:col min="4" max="4" width="8" hidden="0" customWidth="1"/>
    <x:col min="5" max="5" width="24" hidden="0" customWidth="1"/>
    <x:col min="6" max="6" width="30" hidden="0" customWidth="1"/>
    <x:col min="7" max="7" width="24" hidden="0" customWidth="1"/>
    <x:col min="8" max="8" width="34" hidden="0" customWidth="1"/>
    <x:col min="9" max="9" width="42" hidden="0" customWidth="1"/>
    <x:col min="10" max="10" width="48" hidden="0" customWidth="1"/>
    <x:col min="11" max="11" width="55" hidden="0" customWidth="1"/>
    <x:col min="12" max="12" width="42" hidden="0" customWidth="1"/>
  </x:cols>
  <x:sheetData>
    <x:row r="1" ht="38" customHeight="1">
      <x:c r="A1" s="56" t="str">
        <x:v>Sequence</x:v>
      </x:c>
      <x:c r="B1" s="57" t="str">
        <x:v>Company</x:v>
      </x:c>
      <x:c r="C1" s="57" t="str">
        <x:v>Category</x:v>
      </x:c>
      <x:c r="D1" s="57" t="str">
        <x:v>Score</x:v>
      </x:c>
      <x:c r="E1" s="57" t="str">
        <x:v>Headquarters</x:v>
      </x:c>
      <x:c r="F1" s="57" t="str">
        <x:v>Public Email</x:v>
      </x:c>
      <x:c r="G1" s="57" t="str">
        <x:v>Public Phone</x:v>
      </x:c>
      <x:c r="H1" s="57" t="str">
        <x:v>Recommended Role to Target</x:v>
      </x:c>
      <x:c r="I1" s="57" t="str">
        <x:v>Vanilla Relevance</x:v>
      </x:c>
      <x:c r="J1" s="57" t="str">
        <x:v>Why This Buyer Matters</x:v>
      </x:c>
      <x:c r="K1" s="57" t="str">
        <x:v>Recommended First Approach</x:v>
      </x:c>
      <x:c r="L1" s="58" t="str">
        <x:v>Contact / Supplier URL</x:v>
      </x:c>
    </x:row>
    <x:row r="2" ht="64" customHeight="1">
      <x:c r="A2" s="59" t="n">
        <x:v>1</x:v>
      </x:c>
      <x:c r="B2" s="52" t="str">
        <x:v>Perry's Ice Cream</x:v>
      </x:c>
      <x:c r="C2" s="52" t="str">
        <x:v>Premium ice cream, dairy &amp; frozen desserts</x:v>
      </x:c>
      <x:c r="D2" s="52" t="n">
        <x:v>98</x:v>
      </x:c>
      <x:c r="E2" s="52" t="str">
        <x:v>Akron, New York, USA</x:v>
      </x:c>
      <x:c r="F2" s="52" t="str">
        <x:v>Contact form only</x:v>
      </x:c>
      <x:c r="G2" s="52" t="str">
        <x:v>+1 716 542 5492 / +1 800 873 7797</x:v>
      </x:c>
      <x:c r="H2" s="52" t="str">
        <x:v>Contract manufacturing / ingredient procurement</x:v>
      </x:c>
      <x:c r="I2" s="52" t="str">
        <x:v>Very high: vanilla for branded and contract-manufactured frozen desserts</x:v>
      </x:c>
      <x:c r="J2" s="52" t="str">
        <x:v>Contract manufacturer may move volume faster through multiple client products.</x:v>
      </x:c>
      <x:c r="K2" s="52" t="str">
        <x:v>Target contract-manufacturing team; offer 25kg trial and price ladder for 100–500kg.</x:v>
      </x:c>
      <x:c r="L2" s="60" t="str">
        <x:v>https://www.perrysicecream.com/contact/</x:v>
      </x:c>
    </x:row>
    <x:row r="3" ht="64" customHeight="1">
      <x:c r="A3" s="59" t="n">
        <x:v>2</x:v>
      </x:c>
      <x:c r="B3" s="52" t="str">
        <x:v>Pecan Deluxe Candy</x:v>
      </x:c>
      <x:c r="C3" s="52" t="str">
        <x:v>Premium bakery, pastry &amp; dessert manufacturers</x:v>
      </x:c>
      <x:c r="D3" s="52" t="n">
        <x:v>98</x:v>
      </x:c>
      <x:c r="E3" s="52" t="str">
        <x:v>Dallas, Texas, USA</x:v>
      </x:c>
      <x:c r="F3" s="52" t="str">
        <x:v>sales@pecandeluxe.com / pdcc_info@pecandeluxe.com</x:v>
      </x:c>
      <x:c r="G3" s="52" t="str">
        <x:v>+1 214 631 3669 / +1 800 733 3589</x:v>
      </x:c>
      <x:c r="H3" s="52" t="str">
        <x:v>Procurement / R&amp;D inclusion sourcing</x:v>
      </x:c>
      <x:c r="I3" s="52" t="str">
        <x:v>High: vanilla can be used in inclusions, toppings and custom ingredient systems</x:v>
      </x:c>
      <x:c r="J3" s="52" t="str">
        <x:v>Custom inclusion manufacturer serving ice cream, dairy, bakery and confectionery manufacturers.</x:v>
      </x:c>
      <x:c r="K3" s="52" t="str">
        <x:v>Contact sales/procurement; pitch Ecuador vanilla for custom inclusions and client projects.</x:v>
      </x:c>
      <x:c r="L3" s="60" t="str">
        <x:v>https://pecandeluxe.com/contact/</x:v>
      </x:c>
    </x:row>
    <x:row r="4" ht="64" customHeight="1">
      <x:c r="A4" s="59" t="n">
        <x:v>3</x:v>
      </x:c>
      <x:c r="B4" s="52" t="str">
        <x:v>Dawn Foods</x:v>
      </x:c>
      <x:c r="C4" s="52" t="str">
        <x:v>Premium bakery, pastry &amp; dessert manufacturers</x:v>
      </x:c>
      <x:c r="D4" s="52" t="n">
        <x:v>98</x:v>
      </x:c>
      <x:c r="E4" s="52" t="str">
        <x:v>Jackson, Michigan, USA</x:v>
      </x:c>
      <x:c r="F4" s="52" t="str">
        <x:v>Contact form only</x:v>
      </x:c>
      <x:c r="G4" s="52" t="str">
        <x:v>+1 800 292 1362</x:v>
      </x:c>
      <x:c r="H4" s="52" t="str">
        <x:v>Supply chain &amp; procurement / flavor ingredient sourcing</x:v>
      </x:c>
      <x:c r="I4" s="52" t="str">
        <x:v>Very high: vanilla in bakery mixes, icings, fillings and pastry products</x:v>
      </x:c>
      <x:c r="J4" s="52" t="str">
        <x:v>Bakery ingredient manufacturer/distributor with broad customer reach.</x:v>
      </x:c>
      <x:c r="K4" s="52" t="str">
        <x:v>Use contact form; separately target procurement leadership and flavor/raw material buyers.</x:v>
      </x:c>
      <x:c r="L4" s="60" t="str">
        <x:v>https://www.dawnfoods.com/contact</x:v>
      </x:c>
    </x:row>
    <x:row r="5" ht="64" customHeight="1">
      <x:c r="A5" s="59" t="n">
        <x:v>4</x:v>
      </x:c>
      <x:c r="B5" s="52" t="str">
        <x:v>Puratos</x:v>
      </x:c>
      <x:c r="C5" s="52" t="str">
        <x:v>Premium bakery, pastry &amp; dessert manufacturers</x:v>
      </x:c>
      <x:c r="D5" s="52" t="n">
        <x:v>98</x:v>
      </x:c>
      <x:c r="E5" s="52" t="str">
        <x:v>Groot-Bijgaarden, Belgium</x:v>
      </x:c>
      <x:c r="F5" s="52" t="str">
        <x:v>infous@puratos.com</x:v>
      </x:c>
      <x:c r="G5" s="52" t="str">
        <x:v>+1 856 428 4300 / +32 2 481 44 44</x:v>
      </x:c>
      <x:c r="H5" s="52" t="str">
        <x:v>Bakery/chocolate raw material procurement</x:v>
      </x:c>
      <x:c r="I5" s="52" t="str">
        <x:v>Very high: vanilla for patisserie, bakery and chocolate ingredient systems</x:v>
      </x:c>
      <x:c r="J5" s="52" t="str">
        <x:v>Global bakery/patisserie/chocolate ingredients company; large and directly relevant.</x:v>
      </x:c>
      <x:c r="K5" s="52" t="str">
        <x:v>Contact Puratos US/local office; request routing to vanilla/natural flavor procurement.</x:v>
      </x:c>
      <x:c r="L5" s="60" t="str">
        <x:v>https://www.puratos.us/en/contact-us</x:v>
      </x:c>
    </x:row>
    <x:row r="6" ht="64" customHeight="1">
      <x:c r="A6" s="59" t="n">
        <x:v>5</x:v>
      </x:c>
      <x:c r="B6" s="52" t="str">
        <x:v>Ghirardelli Chocolate Company</x:v>
      </x:c>
      <x:c r="C6" s="52" t="str">
        <x:v>Premium chocolate &amp; confectionery</x:v>
      </x:c>
      <x:c r="D6" s="52" t="n">
        <x:v>96</x:v>
      </x:c>
      <x:c r="E6" s="52" t="str">
        <x:v>San Leandro, California, USA</x:v>
      </x:c>
      <x:c r="F6" s="52" t="str">
        <x:v>professionalproducts@ghirardelli.com</x:v>
      </x:c>
      <x:c r="G6" s="52" t="str">
        <x:v>+1 510 483 6970 Option 3</x:v>
      </x:c>
      <x:c r="H6" s="52" t="str">
        <x:v>Professional Products / manufacturing procurement</x:v>
      </x:c>
      <x:c r="I6" s="52" t="str">
        <x:v>Premium chocolate, bakery mixes and foodservice sauces can use natural vanilla inputs</x:v>
      </x:c>
      <x:c r="J6" s="52" t="str">
        <x:v>Large premium US chocolate brand with a professional-products route and parent-company scale.</x:v>
      </x:c>
      <x:c r="K6" s="52" t="str">
        <x:v>Start with Professional Products; ask for ingredient sourcing contact for natural vanilla.</x:v>
      </x:c>
      <x:c r="L6" s="60" t="str">
        <x:v>https://www.ghirardelli.com/ppd-contact-us</x:v>
      </x:c>
    </x:row>
    <x:row r="7" ht="64" customHeight="1">
      <x:c r="A7" s="59" t="n">
        <x:v>6</x:v>
      </x:c>
      <x:c r="B7" s="52" t="str">
        <x:v>Tillamook County Creamery Association</x:v>
      </x:c>
      <x:c r="C7" s="52" t="str">
        <x:v>Premium ice cream, dairy &amp; frozen desserts</x:v>
      </x:c>
      <x:c r="D7" s="52" t="n">
        <x:v>96</x:v>
      </x:c>
      <x:c r="E7" s="52" t="str">
        <x:v>Tillamook, Oregon, USA</x:v>
      </x:c>
      <x:c r="F7" s="52" t="str">
        <x:v>Contact form only</x:v>
      </x:c>
      <x:c r="G7" s="52" t="str">
        <x:v>Contact form only</x:v>
      </x:c>
      <x:c r="H7" s="52" t="str">
        <x:v>Ingredient sourcing / ice cream procurement</x:v>
      </x:c>
      <x:c r="I7" s="52" t="str">
        <x:v>Very high: vanilla ice cream and dairy desserts need consistent vanilla profile</x:v>
      </x:c>
      <x:c r="J7" s="52" t="str">
        <x:v>Premium dairy co-op with large manufacturing footprint and quality positioning.</x:v>
      </x:c>
      <x:c r="K7" s="52" t="str">
        <x:v>Use business inquiry routing; ask specifically for ice cream ingredient procurement.</x:v>
      </x:c>
      <x:c r="L7" s="60" t="str">
        <x:v>https://www.tillamook.com/contact</x:v>
      </x:c>
    </x:row>
    <x:row r="8" ht="64" customHeight="1">
      <x:c r="A8" s="59" t="n">
        <x:v>7</x:v>
      </x:c>
      <x:c r="B8" s="52" t="str">
        <x:v>Chobani</x:v>
      </x:c>
      <x:c r="C8" s="52" t="str">
        <x:v>Premium ice cream, dairy &amp; frozen desserts</x:v>
      </x:c>
      <x:c r="D8" s="52" t="n">
        <x:v>96</x:v>
      </x:c>
      <x:c r="E8" s="52" t="str">
        <x:v>New Berlin, New York, USA</x:v>
      </x:c>
      <x:c r="F8" s="52" t="str">
        <x:v>Contact form only</x:v>
      </x:c>
      <x:c r="G8" s="52" t="str">
        <x:v>Not publicly listed</x:v>
      </x:c>
      <x:c r="H8" s="52" t="str">
        <x:v>Ingredient sourcing / yogurt and creamer R&amp;D</x:v>
      </x:c>
      <x:c r="I8" s="52" t="str">
        <x:v>High: vanilla yogurt, creamer and drink applications</x:v>
      </x:c>
      <x:c r="J8" s="52" t="str">
        <x:v>Large high-quality yogurt maker with natural ingredient positioning.</x:v>
      </x:c>
      <x:c r="K8" s="52" t="str">
        <x:v>Use contact/supplier routes and target sourcing managers for vanilla/natural flavors.</x:v>
      </x:c>
      <x:c r="L8" s="60" t="str">
        <x:v>https://www.chobani.com/contact-us</x:v>
      </x:c>
    </x:row>
    <x:row r="9" ht="64" customHeight="1">
      <x:c r="A9" s="59" t="n">
        <x:v>8</x:v>
      </x:c>
      <x:c r="B9" s="52" t="str">
        <x:v>CSM Ingredients</x:v>
      </x:c>
      <x:c r="C9" s="52" t="str">
        <x:v>Premium bakery, pastry &amp; dessert manufacturers</x:v>
      </x:c>
      <x:c r="D9" s="52" t="n">
        <x:v>96</x:v>
      </x:c>
      <x:c r="E9" s="52" t="str">
        <x:v>Luxembourg / Italy</x:v>
      </x:c>
      <x:c r="F9" s="52" t="str">
        <x:v>Contact form only</x:v>
      </x:c>
      <x:c r="G9" s="52" t="str">
        <x:v>Not publicly listed</x:v>
      </x:c>
      <x:c r="H9" s="52" t="str">
        <x:v>Procurement / bakery ingredient R&amp;D</x:v>
      </x:c>
      <x:c r="I9" s="52" t="str">
        <x:v>High: vanilla for fillings, mixes, icings and pastry systems</x:v>
      </x:c>
      <x:c r="J9" s="52" t="str">
        <x:v>Large bakery ingredients manufacturer with European customer base.</x:v>
      </x:c>
      <x:c r="K9" s="52" t="str">
        <x:v>Lead with EU import-ready packet and price ladder for 25–500kg.</x:v>
      </x:c>
      <x:c r="L9" s="60" t="str">
        <x:v>https://www.csmingredients.com/contact</x:v>
      </x:c>
    </x:row>
    <x:row r="10" ht="64" customHeight="1">
      <x:c r="A10" s="59" t="n">
        <x:v>9</x:v>
      </x:c>
      <x:c r="B10" s="52" t="str">
        <x:v>Europastry</x:v>
      </x:c>
      <x:c r="C10" s="52" t="str">
        <x:v>Premium bakery, pastry &amp; dessert manufacturers</x:v>
      </x:c>
      <x:c r="D10" s="52" t="n">
        <x:v>96</x:v>
      </x:c>
      <x:c r="E10" s="52" t="str">
        <x:v>Barcelona, Spain</x:v>
      </x:c>
      <x:c r="F10" s="52" t="str">
        <x:v>Contact form only</x:v>
      </x:c>
      <x:c r="G10" s="52" t="str">
        <x:v>Not publicly listed</x:v>
      </x:c>
      <x:c r="H10" s="52" t="str">
        <x:v>Ingredient procurement / pastry R&amp;D</x:v>
      </x:c>
      <x:c r="I10" s="52" t="str">
        <x:v>High: vanilla in sweet pastry, cream fillings and bakery formats</x:v>
      </x:c>
      <x:c r="J10" s="52" t="str">
        <x:v>Large premium frozen bakery manufacturer; volume potential meaningful.</x:v>
      </x:c>
      <x:c r="K10" s="52" t="str">
        <x:v>Spanish/English outreach with EU-ready samples and bakery application notes.</x:v>
      </x:c>
      <x:c r="L10" s="60" t="str">
        <x:v>https://www.europastry.com/en/contact/</x:v>
      </x:c>
    </x:row>
    <x:row r="11" ht="64" customHeight="1">
      <x:c r="A11" s="59" t="n">
        <x:v>10</x:v>
      </x:c>
      <x:c r="B11" s="52" t="str">
        <x:v>Califia Farms</x:v>
      </x:c>
      <x:c r="C11" s="52" t="str">
        <x:v>Premium beverages, coffee, plant-based &amp; syrups</x:v>
      </x:c>
      <x:c r="D11" s="52" t="n">
        <x:v>96</x:v>
      </x:c>
      <x:c r="E11" s="52" t="str">
        <x:v>Los Angeles, California, USA</x:v>
      </x:c>
      <x:c r="F11" s="52" t="str">
        <x:v>hello@califiafarms.com</x:v>
      </x:c>
      <x:c r="G11" s="52" t="str">
        <x:v>+1 844 237 4779 / +44 800 808 5525 / +61 2 8880 0958</x:v>
      </x:c>
      <x:c r="H11" s="52" t="str">
        <x:v>Ingredient procurement / creamer and coffee R&amp;D</x:v>
      </x:c>
      <x:c r="I11" s="52" t="str">
        <x:v>Very high: vanilla plant milk, creamer and cold brew formulations</x:v>
      </x:c>
      <x:c r="J11" s="52" t="str">
        <x:v>Premium plant-based beverage manufacturer with public contact routing and vanilla applications.</x:v>
      </x:c>
      <x:c r="K11" s="52" t="str">
        <x:v>Use contact options and specifically request routing to ingredient procurement/R&amp;D.</x:v>
      </x:c>
      <x:c r="L11" s="60" t="str">
        <x:v>https://www.califiafarms.com/contact-us/</x:v>
      </x:c>
    </x:row>
    <x:row r="12" ht="64" customHeight="1">
      <x:c r="A12" s="59" t="n">
        <x:v>11</x:v>
      </x:c>
      <x:c r="B12" s="52" t="str">
        <x:v>Monin</x:v>
      </x:c>
      <x:c r="C12" s="52" t="str">
        <x:v>Premium beverages, coffee, plant-based &amp; syrups</x:v>
      </x:c>
      <x:c r="D12" s="52" t="n">
        <x:v>96</x:v>
      </x:c>
      <x:c r="E12" s="52" t="str">
        <x:v>Bourges, France / Clearwater, Florida, USA</x:v>
      </x:c>
      <x:c r="F12" s="52" t="str">
        <x:v>support@help.monin.com</x:v>
      </x:c>
      <x:c r="G12" s="52" t="str">
        <x:v>+1 866 797 8720</x:v>
      </x:c>
      <x:c r="H12" s="52" t="str">
        <x:v>Flavor ingredient procurement / syrup R&amp;D</x:v>
      </x:c>
      <x:c r="I12" s="52" t="str">
        <x:v>Very high: vanilla syrups and flavor bases are core beverage products</x:v>
      </x:c>
      <x:c r="J12" s="52" t="str">
        <x:v>Global beverage flavor/syrup manufacturer; direct vanilla relevance.</x:v>
      </x:c>
      <x:c r="K12" s="52" t="str">
        <x:v>Contact US/global route; target R&amp;D/procurement for vanilla syrup ingredients.</x:v>
      </x:c>
      <x:c r="L12" s="60" t="str">
        <x:v>https://monin.us/policies/contact-information</x:v>
      </x:c>
    </x:row>
    <x:row r="13" ht="64" customHeight="1">
      <x:c r="A13" s="59" t="n">
        <x:v>12</x:v>
      </x:c>
      <x:c r="B13" s="52" t="str">
        <x:v>Sazerac Company</x:v>
      </x:c>
      <x:c r="C13" s="52" t="str">
        <x:v>Premium spirits, liqueurs &amp; alcoholic beverages</x:v>
      </x:c>
      <x:c r="D13" s="52" t="n">
        <x:v>96</x:v>
      </x:c>
      <x:c r="E13" s="52" t="str">
        <x:v>New Orleans, Louisiana / Louisville, Kentucky, USA</x:v>
      </x:c>
      <x:c r="F13" s="52" t="str">
        <x:v>Contact form only</x:v>
      </x:c>
      <x:c r="G13" s="52" t="str">
        <x:v>Not publicly listed</x:v>
      </x:c>
      <x:c r="H13" s="52" t="str">
        <x:v>Procurement / flavor ingredients / product development</x:v>
      </x:c>
      <x:c r="I13" s="52" t="str">
        <x:v>High: flavored whisky/liqueurs and RTD products can use vanilla</x:v>
      </x:c>
      <x:c r="J13" s="52" t="str">
        <x:v>Large private spirits company with broad flavored products.</x:v>
      </x:c>
      <x:c r="K13" s="52" t="str">
        <x:v>Target procurement and flavored spirits innovation teams; offer beverage-grade sample.</x:v>
      </x:c>
      <x:c r="L13" s="60" t="str">
        <x:v>https://www.sazerac.com/contact.html</x:v>
      </x:c>
    </x:row>
    <x:row r="14" ht="64" customHeight="1">
      <x:c r="A14" s="59" t="n">
        <x:v>13</x:v>
      </x:c>
      <x:c r="B14" s="52" t="str">
        <x:v>Jeni's Splendid Ice Creams</x:v>
      </x:c>
      <x:c r="C14" s="52" t="str">
        <x:v>Premium ice cream, dairy &amp; frozen desserts</x:v>
      </x:c>
      <x:c r="D14" s="52" t="n">
        <x:v>95</x:v>
      </x:c>
      <x:c r="E14" s="52" t="str">
        <x:v>Columbus, Ohio, USA</x:v>
      </x:c>
      <x:c r="F14" s="52" t="str">
        <x:v>contact@jenis.com</x:v>
      </x:c>
      <x:c r="G14" s="52" t="str">
        <x:v>+1 614 488 3224</x:v>
      </x:c>
      <x:c r="H14" s="52" t="str">
        <x:v>Ingredient sourcing / product development</x:v>
      </x:c>
      <x:c r="I14" s="52" t="str">
        <x:v>Very high: vanilla appears in base flavors and premium flavor systems</x:v>
      </x:c>
      <x:c r="J14" s="52" t="str">
        <x:v>Premium brand with strong ingredient storytelling; more accessible than multinationals.</x:v>
      </x:c>
      <x:c r="K14" s="52" t="str">
        <x:v>Pitch a limited Ecuador vanilla flavor or supply for Sweet Cream/Brown Butter-style applications.</x:v>
      </x:c>
      <x:c r="L14" s="60" t="str">
        <x:v>https://jenis.com/pages/contact-us</x:v>
      </x:c>
    </x:row>
    <x:row r="15" ht="64" customHeight="1">
      <x:c r="A15" s="59" t="n">
        <x:v>14</x:v>
      </x:c>
      <x:c r="B15" s="52" t="str">
        <x:v>Van Leeuwen Ice Cream</x:v>
      </x:c>
      <x:c r="C15" s="52" t="str">
        <x:v>Premium ice cream, dairy &amp; frozen desserts</x:v>
      </x:c>
      <x:c r="D15" s="52" t="n">
        <x:v>95</x:v>
      </x:c>
      <x:c r="E15" s="52" t="str">
        <x:v>Brooklyn, New York, USA</x:v>
      </x:c>
      <x:c r="F15" s="52" t="str">
        <x:v>wholesale@vanleeuwenicecream.com / hello@vanleeuwenicecream.com</x:v>
      </x:c>
      <x:c r="G15" s="52" t="str">
        <x:v>Not publicly listed</x:v>
      </x:c>
      <x:c r="H15" s="52" t="str">
        <x:v>Product development / ingredient sourcing</x:v>
      </x:c>
      <x:c r="I15" s="52" t="str">
        <x:v>Very high: premium vanilla identity and clean-label positioning</x:v>
      </x:c>
      <x:c r="J15" s="52" t="str">
        <x:v>Fast-growing premium manufacturer; likely cares about high-quality visible-origin ingredients.</x:v>
      </x:c>
      <x:c r="K15" s="52" t="str">
        <x:v>Pitch a fast 25kg trial and product-development sample for a new vanilla expression.</x:v>
      </x:c>
      <x:c r="L15" s="60" t="str">
        <x:v>https://vanleeuwenicecream.com/contact/</x:v>
      </x:c>
    </x:row>
    <x:row r="16" ht="64" customHeight="1">
      <x:c r="A16" s="59" t="n">
        <x:v>15</x:v>
      </x:c>
      <x:c r="B16" s="52" t="str">
        <x:v>Koia</x:v>
      </x:c>
      <x:c r="C16" s="52" t="str">
        <x:v>Premium beverages, coffee, plant-based &amp; syrups</x:v>
      </x:c>
      <x:c r="D16" s="52" t="n">
        <x:v>95</x:v>
      </x:c>
      <x:c r="E16" s="52" t="str">
        <x:v>Los Angeles, California, USA</x:v>
      </x:c>
      <x:c r="F16" s="52" t="str">
        <x:v>Contact form only</x:v>
      </x:c>
      <x:c r="G16" s="52" t="str">
        <x:v>Not publicly listed</x:v>
      </x:c>
      <x:c r="H16" s="52" t="str">
        <x:v>Ingredient sourcing / protein beverage R&amp;D</x:v>
      </x:c>
      <x:c r="I16" s="52" t="str">
        <x:v>High: vanilla flavor and masking in plant-based protein drinks</x:v>
      </x:c>
      <x:c r="J16" s="52" t="str">
        <x:v>Fast-moving premium beverage brand; may value high-impact flavor ingredients.</x:v>
      </x:c>
      <x:c r="K16" s="52" t="str">
        <x:v>Pitch vanilla for protein drinks and coffee formulations; offer technical sensory sample.</x:v>
      </x:c>
      <x:c r="L16" s="60" t="str">
        <x:v>https://drinkkoia.com/pages/contact-us</x:v>
      </x:c>
    </x:row>
    <x:row r="17" ht="64" customHeight="1">
      <x:c r="A17" s="59" t="n">
        <x:v>16</x:v>
      </x:c>
      <x:c r="B17" s="52" t="str">
        <x:v>Barry Callebaut / Callebaut</x:v>
      </x:c>
      <x:c r="C17" s="52" t="str">
        <x:v>Premium chocolate &amp; confectionery</x:v>
      </x:c>
      <x:c r="D17" s="52" t="n">
        <x:v>95</x:v>
      </x:c>
      <x:c r="E17" s="52" t="str">
        <x:v>Zurich, Switzerland</x:v>
      </x:c>
      <x:c r="F17" s="52" t="str">
        <x:v>Not publicly listed</x:v>
      </x:c>
      <x:c r="G17" s="52" t="str">
        <x:v>+1 312 496 7300 / +1 866 443 0460</x:v>
      </x:c>
      <x:c r="H17" s="52" t="str">
        <x:v>Chocolate ingredient sourcing / vanilla &amp; natural flavor procurement</x:v>
      </x:c>
      <x:c r="I17" s="52" t="str">
        <x:v>Vanilla in chocolate formulations, fillings, white chocolate and professional bakery products</x:v>
      </x:c>
      <x:c r="J17" s="52" t="str">
        <x:v>Global ingredient manufacturer with high-volume industrial and premium chocolate customers.</x:v>
      </x:c>
      <x:c r="K17" s="52" t="str">
        <x:v>Use supplier/contact route; position Ecuador vanilla as a traceable origin option for premium chocolate systems.</x:v>
      </x:c>
      <x:c r="L17" s="60" t="str">
        <x:v>https://www.barry-callebaut.com/en-US/contact</x:v>
      </x:c>
    </x:row>
    <x:row r="18" ht="64" customHeight="1">
      <x:c r="A18" s="59" t="n">
        <x:v>17</x:v>
      </x:c>
      <x:c r="B18" s="52" t="str">
        <x:v>Valrhona</x:v>
      </x:c>
      <x:c r="C18" s="52" t="str">
        <x:v>Premium chocolate &amp; confectionery</x:v>
      </x:c>
      <x:c r="D18" s="52" t="n">
        <x:v>93</x:v>
      </x:c>
      <x:c r="E18" s="52" t="str">
        <x:v>Tain-l'Hermitage, France</x:v>
      </x:c>
      <x:c r="F18" s="52" t="str">
        <x:v>Not publicly listed</x:v>
      </x:c>
      <x:c r="G18" s="52" t="str">
        <x:v>Not publicly listed</x:v>
      </x:c>
      <x:c r="H18" s="52" t="str">
        <x:v>Raw materials procurement / gourmet chocolate sourcing</x:v>
      </x:c>
      <x:c r="I18" s="52" t="str">
        <x:v>High-end chocolate and pastry products often use visible-origin vanilla positioning</x:v>
      </x:c>
      <x:c r="J18" s="52" t="str">
        <x:v>A prestige chocolate maker serving chefs and luxury pastry; smaller than multinationals but premium-fit.</x:v>
      </x:c>
      <x:c r="K18" s="52" t="str">
        <x:v>Lead with Ecuador origin, aromatic profile, and chef-facing story; ask for raw-material procurement referral.</x:v>
      </x:c>
      <x:c r="L18" s="60" t="str">
        <x:v>https://www.valrhona.com/en/contact-us</x:v>
      </x:c>
    </x:row>
    <x:row r="19" ht="64" customHeight="1">
      <x:c r="A19" s="59" t="n">
        <x:v>18</x:v>
      </x:c>
      <x:c r="B19" s="52" t="str">
        <x:v>Guittard Chocolate Company</x:v>
      </x:c>
      <x:c r="C19" s="52" t="str">
        <x:v>Premium chocolate &amp; confectionery</x:v>
      </x:c>
      <x:c r="D19" s="52" t="n">
        <x:v>93</x:v>
      </x:c>
      <x:c r="E19" s="52" t="str">
        <x:v>Burlingame, California, USA</x:v>
      </x:c>
      <x:c r="F19" s="52" t="str">
        <x:v>sales@guittard.com / QA@guittard.com</x:v>
      </x:c>
      <x:c r="G19" s="52" t="str">
        <x:v>+1 800 468 2462 / +1 650 697 4427</x:v>
      </x:c>
      <x:c r="H19" s="52" t="str">
        <x:v>Business sales / manufacturing ingredient sourcing</x:v>
      </x:c>
      <x:c r="I19" s="52" t="str">
        <x:v>Vanilla and natural flavor notes in chocolate and bakery chocolate products</x:v>
      </x:c>
      <x:c r="J19" s="52" t="str">
        <x:v>Family-owned premium chocolate manufacturer with direct professional and manufacturing channels.</x:v>
      </x:c>
      <x:c r="K19" s="52" t="str">
        <x:v>Send sales/professional inquiry and ask for person responsible for vanilla/natural ingredient sourcing.</x:v>
      </x:c>
      <x:c r="L19" s="60" t="str">
        <x:v>https://guittard.com/contact</x:v>
      </x:c>
    </x:row>
    <x:row r="20" ht="64" customHeight="1">
      <x:c r="A20" s="59" t="n">
        <x:v>19</x:v>
      </x:c>
      <x:c r="B20" s="52" t="str">
        <x:v>TCHO</x:v>
      </x:c>
      <x:c r="C20" s="52" t="str">
        <x:v>Premium chocolate &amp; confectionery</x:v>
      </x:c>
      <x:c r="D20" s="52" t="n">
        <x:v>93</x:v>
      </x:c>
      <x:c r="E20" s="52" t="str">
        <x:v>Berkeley, California, USA</x:v>
      </x:c>
      <x:c r="F20" s="52" t="str">
        <x:v>Contact form only</x:v>
      </x:c>
      <x:c r="G20" s="52" t="str">
        <x:v>Not publicly listed</x:v>
      </x:c>
      <x:c r="H20" s="52" t="str">
        <x:v>Ingredient sourcing / innovation / professional chocolate team</x:v>
      </x:c>
      <x:c r="I20" s="52" t="str">
        <x:v>Natural vanilla can complement dark/milk/white chocolate and bakery systems</x:v>
      </x:c>
      <x:c r="J20" s="52" t="str">
        <x:v>Sustainability-focused chocolate manufacturer with B2B channel.</x:v>
      </x:c>
      <x:c r="K20" s="52" t="str">
        <x:v>Request sourcing/innovation contact and offer blind sensory evaluation sample.</x:v>
      </x:c>
      <x:c r="L20" s="60" t="str">
        <x:v>https://tcho.com/pages/contact-us</x:v>
      </x:c>
    </x:row>
    <x:row r="21" ht="64" customHeight="1">
      <x:c r="A21" s="59" t="n">
        <x:v>20</x:v>
      </x:c>
      <x:c r="B21" s="52" t="str">
        <x:v>Venchi</x:v>
      </x:c>
      <x:c r="C21" s="52" t="str">
        <x:v>Premium chocolate &amp; confectionery</x:v>
      </x:c>
      <x:c r="D21" s="52" t="n">
        <x:v>93</x:v>
      </x:c>
      <x:c r="E21" s="52" t="str">
        <x:v>Cuneo, Italy</x:v>
      </x:c>
      <x:c r="F21" s="52" t="str">
        <x:v>Contact form only</x:v>
      </x:c>
      <x:c r="G21" s="52" t="str">
        <x:v>Not publicly listed</x:v>
      </x:c>
      <x:c r="H21" s="52" t="str">
        <x:v>Procurement / gelato and chocolate R&amp;D</x:v>
      </x:c>
      <x:c r="I21" s="52" t="str">
        <x:v>Vanilla in gelato, white chocolate, pralines and spreads</x:v>
      </x:c>
      <x:c r="J21" s="52" t="str">
        <x:v>High-fit because Venchi operates both chocolate and gelato formats.</x:v>
      </x:c>
      <x:c r="K21" s="52" t="str">
        <x:v>Pitch dual use: gelato-quality vanilla plus chocolate/confectionery applications.</x:v>
      </x:c>
      <x:c r="L21" s="60" t="str">
        <x:v>https://us.venchi.com/contact-us</x:v>
      </x:c>
    </x:row>
    <x:row r="22" ht="64" customHeight="1">
      <x:c r="A22" s="59" t="n">
        <x:v>21</x:v>
      </x:c>
      <x:c r="B22" s="52" t="str">
        <x:v>Luker Chocolate</x:v>
      </x:c>
      <x:c r="C22" s="52" t="str">
        <x:v>Premium chocolate &amp; confectionery</x:v>
      </x:c>
      <x:c r="D22" s="52" t="n">
        <x:v>93</x:v>
      </x:c>
      <x:c r="E22" s="52" t="str">
        <x:v>Bogotá, Colombia</x:v>
      </x:c>
      <x:c r="F22" s="52" t="str">
        <x:v>Contact form only</x:v>
      </x:c>
      <x:c r="G22" s="52" t="str">
        <x:v>Not publicly listed</x:v>
      </x:c>
      <x:c r="H22" s="52" t="str">
        <x:v>Product development / sourcing / private label manufacturing</x:v>
      </x:c>
      <x:c r="I22" s="52" t="str">
        <x:v>Vanilla as an ingredient for chocolate, private label and bakery customers</x:v>
      </x:c>
      <x:c r="J22" s="52" t="str">
        <x:v>Latin American premium chocolate manufacturer with B2B/private-label capability.</x:v>
      </x:c>
      <x:c r="K22" s="52" t="str">
        <x:v>Spanish/English outreach; propose Ecuador-Colombia premium flavor collaboration.</x:v>
      </x:c>
      <x:c r="L22" s="60" t="str">
        <x:v>https://lukerchocolate.com/en/contact-us</x:v>
      </x:c>
    </x:row>
    <x:row r="23" ht="64" customHeight="1">
      <x:c r="A23" s="59" t="n">
        <x:v>22</x:v>
      </x:c>
      <x:c r="B23" s="52" t="str">
        <x:v>Graeter's Ice Cream</x:v>
      </x:c>
      <x:c r="C23" s="52" t="str">
        <x:v>Premium ice cream, dairy &amp; frozen desserts</x:v>
      </x:c>
      <x:c r="D23" s="52" t="n">
        <x:v>93</x:v>
      </x:c>
      <x:c r="E23" s="52" t="str">
        <x:v>Cincinnati, Ohio, USA</x:v>
      </x:c>
      <x:c r="F23" s="52" t="str">
        <x:v>Contact form only</x:v>
      </x:c>
      <x:c r="G23" s="52" t="str">
        <x:v>Not publicly listed</x:v>
      </x:c>
      <x:c r="H23" s="52" t="str">
        <x:v>Production / ingredient sourcing</x:v>
      </x:c>
      <x:c r="I23" s="52" t="str">
        <x:v>High: premium vanilla, chocolate chip and confectionery applications</x:v>
      </x:c>
      <x:c r="J23" s="52" t="str">
        <x:v>Premium manufacturer with both ice cream and confectionery channels.</x:v>
      </x:c>
      <x:c r="K23" s="52" t="str">
        <x:v>Pitch beans for vanilla ice cream and chocolate confectionery applications.</x:v>
      </x:c>
      <x:c r="L23" s="60" t="str">
        <x:v>https://www.graeters.com/contact</x:v>
      </x:c>
    </x:row>
    <x:row r="24" ht="64" customHeight="1">
      <x:c r="A24" s="59" t="n">
        <x:v>23</x:v>
      </x:c>
      <x:c r="B24" s="52" t="str">
        <x:v>St Michel Biscuits</x:v>
      </x:c>
      <x:c r="C24" s="52" t="str">
        <x:v>Premium bakery, pastry &amp; dessert manufacturers</x:v>
      </x:c>
      <x:c r="D24" s="52" t="n">
        <x:v>93</x:v>
      </x:c>
      <x:c r="E24" s="52" t="str">
        <x:v>Contres, France</x:v>
      </x:c>
      <x:c r="F24" s="52" t="str">
        <x:v>Contact form only</x:v>
      </x:c>
      <x:c r="G24" s="52" t="str">
        <x:v>Not publicly listed</x:v>
      </x:c>
      <x:c r="H24" s="52" t="str">
        <x:v>Raw material purchasing / R&amp;D</x:v>
      </x:c>
      <x:c r="I24" s="52" t="str">
        <x:v>High: vanilla in madeleines and French bakery products</x:v>
      </x:c>
      <x:c r="J24" s="52" t="str">
        <x:v>French premium bakery brand with vanilla-friendly applications.</x:v>
      </x:c>
      <x:c r="K24" s="52" t="str">
        <x:v>Pitch for madeleines, cakes and premium biscuits with French/EU compliance package.</x:v>
      </x:c>
      <x:c r="L24" s="60" t="str">
        <x:v>https://www.stmichel.com/en/contact</x:v>
      </x:c>
    </x:row>
    <x:row r="25" ht="64" customHeight="1">
      <x:c r="A25" s="59" t="n">
        <x:v>24</x:v>
      </x:c>
      <x:c r="B25" s="52" t="str">
        <x:v>Bridor</x:v>
      </x:c>
      <x:c r="C25" s="52" t="str">
        <x:v>Premium bakery, pastry &amp; dessert manufacturers</x:v>
      </x:c>
      <x:c r="D25" s="52" t="n">
        <x:v>93</x:v>
      </x:c>
      <x:c r="E25" s="52" t="str">
        <x:v>Rennes, France</x:v>
      </x:c>
      <x:c r="F25" s="52" t="str">
        <x:v>Contact form only</x:v>
      </x:c>
      <x:c r="G25" s="52" t="str">
        <x:v>Not publicly listed</x:v>
      </x:c>
      <x:c r="H25" s="52" t="str">
        <x:v>Ingredient procurement / viennoiserie R&amp;D</x:v>
      </x:c>
      <x:c r="I25" s="52" t="str">
        <x:v>High: vanilla in creams, fillings and sweet pastry applications</x:v>
      </x:c>
      <x:c r="J25" s="52" t="str">
        <x:v>Premium bakery manufacturer serving foodservice/hospitality worldwide.</x:v>
      </x:c>
      <x:c r="K25" s="52" t="str">
        <x:v>Pitch vanilla for pastry cream and luxury viennoiserie applications.</x:v>
      </x:c>
      <x:c r="L25" s="60" t="str">
        <x:v>https://www.bridor.com/en/contact/</x:v>
      </x:c>
    </x:row>
    <x:row r="26" ht="64" customHeight="1">
      <x:c r="A26" s="59" t="n">
        <x:v>25</x:v>
      </x:c>
      <x:c r="B26" s="52" t="str">
        <x:v>La Colombe Coffee Roasters</x:v>
      </x:c>
      <x:c r="C26" s="52" t="str">
        <x:v>Premium beverages, coffee, plant-based &amp; syrups</x:v>
      </x:c>
      <x:c r="D26" s="52" t="n">
        <x:v>93</x:v>
      </x:c>
      <x:c r="E26" s="52" t="str">
        <x:v>Philadelphia, Pennsylvania, USA</x:v>
      </x:c>
      <x:c r="F26" s="52" t="str">
        <x:v>Contact form only</x:v>
      </x:c>
      <x:c r="G26" s="52" t="str">
        <x:v>Not publicly listed</x:v>
      </x:c>
      <x:c r="H26" s="52" t="str">
        <x:v>RTD beverage procurement / innovation</x:v>
      </x:c>
      <x:c r="I26" s="52" t="str">
        <x:v>High: vanilla RTD coffee beverages and cafe applications</x:v>
      </x:c>
      <x:c r="J26" s="52" t="str">
        <x:v>RTD coffee manufacturer with Chobani parent; vanilla fits canned latte formats.</x:v>
      </x:c>
      <x:c r="K26" s="52" t="str">
        <x:v>Target beverage R&amp;D/procurement; pitch clean-label vanilla for RTD lattes.</x:v>
      </x:c>
      <x:c r="L26" s="60" t="str">
        <x:v>https://www.lacolombe.com/pages/contact-us</x:v>
      </x:c>
    </x:row>
    <x:row r="27" ht="64" customHeight="1">
      <x:c r="A27" s="59" t="n">
        <x:v>26</x:v>
      </x:c>
      <x:c r="B27" s="52" t="str">
        <x:v>Elmhurst 1925</x:v>
      </x:c>
      <x:c r="C27" s="52" t="str">
        <x:v>Premium beverages, coffee, plant-based &amp; syrups</x:v>
      </x:c>
      <x:c r="D27" s="52" t="n">
        <x:v>93</x:v>
      </x:c>
      <x:c r="E27" s="52" t="str">
        <x:v>Elma, New York, USA</x:v>
      </x:c>
      <x:c r="F27" s="52" t="str">
        <x:v>Contact form only</x:v>
      </x:c>
      <x:c r="G27" s="52" t="str">
        <x:v>Not publicly listed</x:v>
      </x:c>
      <x:c r="H27" s="52" t="str">
        <x:v>Ingredient sourcing / product development</x:v>
      </x:c>
      <x:c r="I27" s="52" t="str">
        <x:v>High: vanilla in plant milks and creamers</x:v>
      </x:c>
      <x:c r="J27" s="52" t="str">
        <x:v>Premium plant-based manufacturer with clean ingredient positioning.</x:v>
      </x:c>
      <x:c r="K27" s="52" t="str">
        <x:v>Pitch clean-label Ecuador vanilla for vanilla plant milk and creamer.</x:v>
      </x:c>
      <x:c r="L27" s="60" t="str">
        <x:v>https://elmhurst1925.com/pages/contact</x:v>
      </x:c>
    </x:row>
    <x:row r="28" ht="64" customHeight="1">
      <x:c r="A28" s="59" t="n">
        <x:v>27</x:v>
      </x:c>
      <x:c r="B28" s="52" t="str">
        <x:v>Ripple Foods</x:v>
      </x:c>
      <x:c r="C28" s="52" t="str">
        <x:v>Premium beverages, coffee, plant-based &amp; syrups</x:v>
      </x:c>
      <x:c r="D28" s="52" t="n">
        <x:v>93</x:v>
      </x:c>
      <x:c r="E28" s="52" t="str">
        <x:v>Berkeley, California, USA</x:v>
      </x:c>
      <x:c r="F28" s="52" t="str">
        <x:v>Contact form only</x:v>
      </x:c>
      <x:c r="G28" s="52" t="str">
        <x:v>Not publicly listed</x:v>
      </x:c>
      <x:c r="H28" s="52" t="str">
        <x:v>Ingredient sourcing / plant-based dairy R&amp;D</x:v>
      </x:c>
      <x:c r="I28" s="52" t="str">
        <x:v>High: vanilla in plant-based milk and protein drinks</x:v>
      </x:c>
      <x:c r="J28" s="52" t="str">
        <x:v>Plant-based beverages often use vanilla to improve flavor masking and premiumization.</x:v>
      </x:c>
      <x:c r="K28" s="52" t="str">
        <x:v>Pitch as premium natural vanilla for flavor masking and vanilla SKUs.</x:v>
      </x:c>
      <x:c r="L28" s="60" t="str">
        <x:v>https://www.ripplefoods.com/contact-us/</x:v>
      </x:c>
    </x:row>
    <x:row r="29" ht="64" customHeight="1">
      <x:c r="A29" s="59" t="n">
        <x:v>28</x:v>
      </x:c>
      <x:c r="B29" s="52" t="str">
        <x:v>Lucas Bols</x:v>
      </x:c>
      <x:c r="C29" s="52" t="str">
        <x:v>Premium spirits, liqueurs &amp; alcoholic beverages</x:v>
      </x:c>
      <x:c r="D29" s="52" t="n">
        <x:v>93</x:v>
      </x:c>
      <x:c r="E29" s="52" t="str">
        <x:v>Amsterdam, Netherlands</x:v>
      </x:c>
      <x:c r="F29" s="52" t="str">
        <x:v>Contact form only</x:v>
      </x:c>
      <x:c r="G29" s="52" t="str">
        <x:v>Not publicly listed</x:v>
      </x:c>
      <x:c r="H29" s="52" t="str">
        <x:v>Liqueur ingredient procurement / R&amp;D</x:v>
      </x:c>
      <x:c r="I29" s="52" t="str">
        <x:v>Very high: liqueur portfolio includes vanilla-compatible flavor systems</x:v>
      </x:c>
      <x:c r="J29" s="52" t="str">
        <x:v>Specialist liqueur producer; likely more directly relevant than broad spirits groups.</x:v>
      </x:c>
      <x:c r="K29" s="52" t="str">
        <x:v>Pitch vanilla for premium liqueur and cocktail ingredient applications.</x:v>
      </x:c>
      <x:c r="L29" s="60" t="str">
        <x:v>https://www.lucasbols.com/contact/</x:v>
      </x:c>
    </x:row>
    <x:row r="30" ht="64" customHeight="1">
      <x:c r="A30" s="59" t="n">
        <x:v>29</x:v>
      </x:c>
      <x:c r="B30" s="52" t="str">
        <x:v>Giffard</x:v>
      </x:c>
      <x:c r="C30" s="52" t="str">
        <x:v>Premium spirits, liqueurs &amp; alcoholic beverages</x:v>
      </x:c>
      <x:c r="D30" s="52" t="n">
        <x:v>93</x:v>
      </x:c>
      <x:c r="E30" s="52" t="str">
        <x:v>Avrillé, France</x:v>
      </x:c>
      <x:c r="F30" s="52" t="str">
        <x:v>Contact form only</x:v>
      </x:c>
      <x:c r="G30" s="52" t="str">
        <x:v>Not publicly listed</x:v>
      </x:c>
      <x:c r="H30" s="52" t="str">
        <x:v>Natural ingredient procurement / liqueur R&amp;D</x:v>
      </x:c>
      <x:c r="I30" s="52" t="str">
        <x:v>Very high: liqueurs and syrups use botanical/flavor ingredients including vanilla profiles</x:v>
      </x:c>
      <x:c r="J30" s="52" t="str">
        <x:v>Family-owned premium liqueur/syrup manufacturer; possible direct ingredient evaluation.</x:v>
      </x:c>
      <x:c r="K30" s="52" t="str">
        <x:v>French/English outreach with beverage-grade vanilla sample and sensory data.</x:v>
      </x:c>
      <x:c r="L30" s="60" t="str">
        <x:v>https://www.giffard.com/en/contact/</x:v>
      </x:c>
    </x:row>
    <x:row r="31" ht="64" customHeight="1">
      <x:c r="A31" s="61" t="n">
        <x:v>30</x:v>
      </x:c>
      <x:c r="B31" s="62" t="str">
        <x:v>Zamora Company / Licor 43</x:v>
      </x:c>
      <x:c r="C31" s="62" t="str">
        <x:v>Premium spirits, liqueurs &amp; alcoholic beverages</x:v>
      </x:c>
      <x:c r="D31" s="62" t="n">
        <x:v>93</x:v>
      </x:c>
      <x:c r="E31" s="62" t="str">
        <x:v>Cartagena / Madrid, Spain</x:v>
      </x:c>
      <x:c r="F31" s="62" t="str">
        <x:v>Contact form only</x:v>
      </x:c>
      <x:c r="G31" s="62" t="str">
        <x:v>Not publicly listed</x:v>
      </x:c>
      <x:c r="H31" s="62" t="str">
        <x:v>Liqueur ingredient procurement / R&amp;D</x:v>
      </x:c>
      <x:c r="I31" s="62" t="str">
        <x:v>Very high: Licor 43 is a vanilla-forward liqueur profile</x:v>
      </x:c>
      <x:c r="J31" s="62" t="str">
        <x:v>Direct flavor relevance; medium volume but high fit.</x:v>
      </x:c>
      <x:c r="K31" s="62" t="str">
        <x:v>Spanish/English outreach; pitch Ecuador vanilla for liqueur quality and origin story.</x:v>
      </x:c>
      <x:c r="L31" s="63" t="str">
        <x:v>https://www.zamoracompany.com/en/contact/</x:v>
      </x:c>
    </x:row>
  </x:sheetData>
  <x:conditionalFormatting sqref="D2:D31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{07DDE095-5D6D-536F-5D8B-BD5B60B1DBCF}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5bbd1b54cae44f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7DDE095-5D6D-536F-5D8B-BD5B60B1DBCF}">
            <x14:dataBar gradient="1">
              <x14:cfvo type="min"/>
              <x14:cfvo type="max"/>
              <x14:fillColor rgb="FF0F766E"/>
            </x14:dataBar>
          </x14:cfRule>
          <xm:sqref>D2:D31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42" hidden="0" customWidth="1"/>
    <x:col min="4" max="4" width="10" hidden="0" customWidth="1"/>
    <x:col min="5" max="5" width="4" hidden="0" customWidth="1"/>
    <x:col min="6" max="6" width="18" hidden="0" customWidth="1"/>
    <x:col min="7" max="7" width="46" hidden="0" customWidth="1"/>
    <x:col min="8" max="8" width="28" hidden="0" customWidth="1"/>
  </x:cols>
  <x:sheetData>
    <x:row r="1" ht="34" customHeight="1">
      <x:c r="A1" s="149" t="str">
        <x:v>Premium Manufacturer Buyer Target Dashboard</x:v>
      </x:c>
      <x:c r="B1" s="135"/>
      <x:c r="C1" s="135"/>
      <x:c r="D1" s="135"/>
      <x:c r="E1" s="135"/>
      <x:c r="F1" s="135"/>
      <x:c r="G1" s="135"/>
      <x:c r="H1" s="135"/>
    </x:row>
    <x:row r="2">
      <x:c r="A2" s="135"/>
      <x:c r="B2" s="135"/>
      <x:c r="C2" s="135"/>
      <x:c r="D2" s="135"/>
      <x:c r="E2" s="135"/>
      <x:c r="F2" s="135"/>
      <x:c r="G2" s="135"/>
      <x:c r="H2" s="135"/>
    </x:row>
    <x:row r="3">
      <x:c r="A3" s="150" t="str">
        <x:v>Metric</x:v>
      </x:c>
      <x:c r="B3" s="151" t="str">
        <x:v>Value</x:v>
      </x:c>
      <x:c r="C3" s="152" t="str">
        <x:v>How to use it</x:v>
      </x:c>
      <x:c r="D3" s="135"/>
      <x:c r="E3" s="135"/>
      <x:c r="F3" s="150" t="str">
        <x:v>Priority Tier</x:v>
      </x:c>
      <x:c r="G3" s="151" t="str">
        <x:v>Count</x:v>
      </x:c>
      <x:c r="H3" s="152" t="str">
        <x:v>Recommended action</x:v>
      </x:c>
    </x:row>
    <x:row r="4">
      <x:c r="A4" s="139" t="str">
        <x:v>Total targets</x:v>
      </x:c>
      <x:c r="B4" s="153" t="n">
        <x:f>COUNTA('120 Premium Manufacturers'!D2:D121)</x:f>
        <x:v>120</x:v>
      </x:c>
      <x:c r="C4" s="140" t="str">
        <x:v>Full list size</x:v>
      </x:c>
      <x:c r="D4" s="135"/>
      <x:c r="E4" s="135"/>
      <x:c r="F4" s="154" t="str">
        <x:v>A</x:v>
      </x:c>
      <x:c r="G4" s="135" t="n">
        <x:f>COUNTIF('120 Premium Manufacturers'!B2:B121,"A")</x:f>
        <x:v>51</x:v>
      </x:c>
      <x:c r="H4" s="140" t="str">
        <x:v>Contact first; send samples quickly after qualification</x:v>
      </x:c>
    </x:row>
    <x:row r="5">
      <x:c r="A5" s="139" t="str">
        <x:v>Tier A targets</x:v>
      </x:c>
      <x:c r="B5" s="153" t="n">
        <x:f>COUNTIF('120 Premium Manufacturers'!B2:B121,"A")</x:f>
        <x:v>51</x:v>
      </x:c>
      <x:c r="C5" s="140" t="str">
        <x:v>Start here</x:v>
      </x:c>
      <x:c r="D5" s="135"/>
      <x:c r="E5" s="135"/>
      <x:c r="F5" s="154" t="str">
        <x:v>B</x:v>
      </x:c>
      <x:c r="G5" s="135" t="n">
        <x:f>COUNTIF('120 Premium Manufacturers'!B2:B121,"B")</x:f>
        <x:v>65</x:v>
      </x:c>
      <x:c r="H5" s="140" t="str">
        <x:v>Work in parallel; expect slower procurement</x:v>
      </x:c>
    </x:row>
    <x:row r="6">
      <x:c r="A6" s="139" t="str">
        <x:v>Fast buying-speed targets</x:v>
      </x:c>
      <x:c r="B6" s="153" t="n">
        <x:f>COUNTIF('120 Premium Manufacturers'!S2:S121,"Fast")</x:f>
        <x:v>20</x:v>
      </x:c>
      <x:c r="C6" s="140" t="str">
        <x:v>Best for immediate sample outreach</x:v>
      </x:c>
      <x:c r="D6" s="135"/>
      <x:c r="E6" s="135"/>
      <x:c r="F6" s="155" t="str">
        <x:v>C</x:v>
      </x:c>
      <x:c r="G6" s="156" t="n">
        <x:f>COUNTIF('120 Premium Manufacturers'!B2:B121,"C")</x:f>
        <x:v>4</x:v>
      </x:c>
      <x:c r="H6" s="142" t="str">
        <x:v>Use for prestige references or niche opportunities</x:v>
      </x:c>
    </x:row>
    <x:row r="7">
      <x:c r="A7" s="139" t="str">
        <x:v>Strategic/Large volume targets</x:v>
      </x:c>
      <x:c r="B7" s="153" t="n">
        <x:f>COUNTIF('120 Premium Manufacturers'!R2:R121,"Strategic/Large")</x:f>
        <x:v>14</x:v>
      </x:c>
      <x:c r="C7" s="140" t="str">
        <x:v>Slow but major upside</x:v>
      </x:c>
      <x:c r="D7" s="135"/>
      <x:c r="E7" s="135"/>
      <x:c r="F7" s="135"/>
      <x:c r="G7" s="135"/>
      <x:c r="H7" s="135"/>
    </x:row>
    <x:row r="8">
      <x:c r="A8" s="141" t="str">
        <x:v>Targets with public email</x:v>
      </x:c>
      <x:c r="B8" s="157" t="n">
        <x:f>COUNTIFS('120 Premium Manufacturers'!K2:K121,"&lt;&gt;Not publicly listed",'120 Premium Manufacturers'!K2:K121,"&lt;&gt;Contact form only",'120 Premium Manufacturers'!K2:K121,"&lt;&gt;Supplier portal only")</x:f>
        <x:v>17</x:v>
      </x:c>
      <x:c r="C8" s="142" t="str">
        <x:v>Use carefully; many are routing emails</x:v>
      </x:c>
      <x:c r="D8" s="135"/>
      <x:c r="E8" s="135"/>
      <x:c r="F8" s="135"/>
      <x:c r="G8" s="135"/>
      <x:c r="H8" s="135"/>
    </x:row>
    <x:row r="9">
      <x:c r="A9" s="135"/>
      <x:c r="B9" s="135"/>
      <x:c r="C9" s="135"/>
      <x:c r="D9" s="135"/>
      <x:c r="E9" s="135"/>
      <x:c r="F9" s="5" t="str">
        <x:v>Execution Rules</x:v>
      </x:c>
      <x:c r="G9" s="135"/>
      <x:c r="H9" s="135"/>
    </x:row>
    <x:row r="10">
      <x:c r="A10" s="135"/>
      <x:c r="B10" s="135"/>
      <x:c r="C10" s="135"/>
      <x:c r="D10" s="135"/>
      <x:c r="E10" s="135"/>
      <x:c r="F10" s="137" t="str">
        <x:v>Fast Sales Rule</x:v>
      </x:c>
      <x:c r="G10" s="138" t="str">
        <x:v>Contact Tier A + Fast/Medium targets first. Large multinationals are valuable but usually slow.</x:v>
      </x:c>
      <x:c r="H10" s="135"/>
    </x:row>
    <x:row r="11">
      <x:c r="A11" s="158" t="str">
        <x:v>Category</x:v>
      </x:c>
      <x:c r="B11" s="159" t="str">
        <x:v>Count</x:v>
      </x:c>
      <x:c r="C11" s="159" t="str">
        <x:v>Tier A</x:v>
      </x:c>
      <x:c r="D11" s="160" t="str">
        <x:v>Fast</x:v>
      </x:c>
      <x:c r="E11" s="135"/>
      <x:c r="F11" s="139" t="str">
        <x:v>No Guessing Rule</x:v>
      </x:c>
      <x:c r="G11" s="140" t="str">
        <x:v>Where a company does not publish a procurement email, use the official supplier/contact route plus LinkedIn role targeting.</x:v>
      </x:c>
      <x:c r="H11" s="135"/>
    </x:row>
    <x:row r="12">
      <x:c r="A12" s="161" t="str">
        <x:v>Premium bakery, pastry &amp; dessert manufacturers</x:v>
      </x:c>
      <x:c r="B12" s="135" t="n">
        <x:f>COUNTIF('120 Premium Manufacturers'!E2:E121,A12)</x:f>
        <x:v>25</x:v>
      </x:c>
      <x:c r="C12" s="135" t="n">
        <x:f>COUNTIFS('120 Premium Manufacturers'!E2:E121,A12,'120 Premium Manufacturers'!B2:B121,"A")</x:f>
        <x:v>11</x:v>
      </x:c>
      <x:c r="D12" s="140" t="n">
        <x:f>COUNTIFS('120 Premium Manufacturers'!E2:E121,A12,'120 Premium Manufacturers'!S2:S121,"Fast")</x:f>
        <x:v>5</x:v>
      </x:c>
      <x:c r="E12" s="135"/>
      <x:c r="F12" s="139" t="str">
        <x:v>Sample Rule</x:v>
      </x:c>
      <x:c r="G12" s="140" t="str">
        <x:v>Do not ship expensive samples until buyer confirms role, application, needed quantity, specs, and timeline.</x:v>
      </x:c>
      <x:c r="H12" s="135"/>
    </x:row>
    <x:row r="13">
      <x:c r="A13" s="161" t="str">
        <x:v>Premium beverages, coffee, plant-based &amp; syrups</x:v>
      </x:c>
      <x:c r="B13" s="135" t="n">
        <x:f>COUNTIF('120 Premium Manufacturers'!E2:E121,A13)</x:f>
        <x:v>15</x:v>
      </x:c>
      <x:c r="C13" s="135" t="n">
        <x:f>COUNTIFS('120 Premium Manufacturers'!E2:E121,A13,'120 Premium Manufacturers'!B2:B121,"A")</x:f>
        <x:v>6</x:v>
      </x:c>
      <x:c r="D13" s="140" t="n">
        <x:f>COUNTIFS('120 Premium Manufacturers'!E2:E121,A13,'120 Premium Manufacturers'!S2:S121,"Fast")</x:f>
        <x:v>1</x:v>
      </x:c>
      <x:c r="E13" s="135"/>
      <x:c r="F13" s="139" t="str">
        <x:v>Price Rule</x:v>
      </x:c>
      <x:c r="G13" s="140" t="str">
        <x:v>Quote in tiers: 5kg/25kg/100kg/500kg. Use higher price for specialty/luxury, lower for strategic volume.</x:v>
      </x:c>
      <x:c r="H13" s="135"/>
    </x:row>
    <x:row r="14">
      <x:c r="A14" s="161" t="str">
        <x:v>Premium chocolate &amp; confectionery</x:v>
      </x:c>
      <x:c r="B14" s="135" t="n">
        <x:f>COUNTIF('120 Premium Manufacturers'!E2:E121,A14)</x:f>
        <x:v>35</x:v>
      </x:c>
      <x:c r="C14" s="135" t="n">
        <x:f>COUNTIFS('120 Premium Manufacturers'!E2:E121,A14,'120 Premium Manufacturers'!B2:B121,"A")</x:f>
        <x:v>14</x:v>
      </x:c>
      <x:c r="D14" s="140" t="n">
        <x:f>COUNTIFS('120 Premium Manufacturers'!E2:E121,A14,'120 Premium Manufacturers'!S2:S121,"Fast")</x:f>
        <x:v>5</x:v>
      </x:c>
      <x:c r="E14" s="135"/>
      <x:c r="F14" s="141" t="str">
        <x:v>Documentation Rule</x:v>
      </x:c>
      <x:c r="G14" s="142" t="str">
        <x:v>Have COA, microbiology, pesticide residue, heavy metals, moisture, origin, photos, packing and Incoterms ready before outreach.</x:v>
      </x:c>
      <x:c r="H14" s="135"/>
    </x:row>
    <x:row r="15">
      <x:c r="A15" s="161" t="str">
        <x:v>Premium ice cream, dairy &amp; frozen desserts</x:v>
      </x:c>
      <x:c r="B15" s="135" t="n">
        <x:f>COUNTIF('120 Premium Manufacturers'!E2:E121,A15)</x:f>
        <x:v>30</x:v>
      </x:c>
      <x:c r="C15" s="135" t="n">
        <x:f>COUNTIFS('120 Premium Manufacturers'!E2:E121,A15,'120 Premium Manufacturers'!B2:B121,"A")</x:f>
        <x:v>15</x:v>
      </x:c>
      <x:c r="D15" s="140" t="n">
        <x:f>COUNTIFS('120 Premium Manufacturers'!E2:E121,A15,'120 Premium Manufacturers'!S2:S121,"Fast")</x:f>
        <x:v>8</x:v>
      </x:c>
      <x:c r="E15" s="135"/>
      <x:c r="F15" s="135"/>
      <x:c r="G15" s="135"/>
      <x:c r="H15" s="135"/>
    </x:row>
    <x:row r="16">
      <x:c r="A16" s="162" t="str">
        <x:v>Premium spirits, liqueurs &amp; alcoholic beverages</x:v>
      </x:c>
      <x:c r="B16" s="156" t="n">
        <x:f>COUNTIF('120 Premium Manufacturers'!E2:E121,A16)</x:f>
        <x:v>15</x:v>
      </x:c>
      <x:c r="C16" s="156" t="n">
        <x:f>COUNTIFS('120 Premium Manufacturers'!E2:E121,A16,'120 Premium Manufacturers'!B2:B121,"A")</x:f>
        <x:v>5</x:v>
      </x:c>
      <x:c r="D16" s="142" t="n">
        <x:f>COUNTIFS('120 Premium Manufacturers'!E2:E121,A16,'120 Premium Manufacturers'!S2:S121,"Fast")</x:f>
        <x:v>1</x:v>
      </x:c>
      <x:c r="E16" s="135"/>
      <x:c r="F16" s="135"/>
      <x:c r="G16" s="135"/>
      <x:c r="H16" s="135"/>
    </x:row>
    <x:row r="17">
      <x:c r="A17" s="135"/>
      <x:c r="B17" s="135"/>
      <x:c r="C17" s="135"/>
      <x:c r="D17" s="135"/>
      <x:c r="E17" s="135"/>
      <x:c r="F17" s="135"/>
      <x:c r="G17" s="135"/>
      <x:c r="H17" s="135"/>
    </x:row>
    <x:row r="18">
      <x:c r="A18" s="135"/>
      <x:c r="B18" s="135"/>
      <x:c r="C18" s="135"/>
      <x:c r="D18" s="135"/>
      <x:c r="E18" s="135"/>
      <x:c r="F18" s="135"/>
      <x:c r="G18" s="135"/>
      <x:c r="H18" s="135"/>
    </x:row>
    <x:row r="19">
      <x:c r="A19" s="135"/>
      <x:c r="B19" s="135"/>
      <x:c r="C19" s="135"/>
      <x:c r="D19" s="135"/>
      <x:c r="E19" s="135"/>
      <x:c r="F19" s="135"/>
      <x:c r="G19" s="135"/>
      <x:c r="H19" s="135"/>
    </x:row>
    <x:row r="20">
      <x:c r="A20" s="135"/>
      <x:c r="B20" s="135"/>
      <x:c r="C20" s="135"/>
      <x:c r="D20" s="135"/>
      <x:c r="E20" s="135"/>
      <x:c r="F20" s="135"/>
      <x:c r="G20" s="135"/>
      <x:c r="H20" s="135"/>
    </x:row>
  </x:sheetData>
  <x:mergeCells>
    <x:mergeCell ref="A1:H1"/>
    <x:mergeCell ref="F9:H9"/>
  </x:mergeCells>
  <x:pageMargins left="0.7" right="0.7" top="0.75" bottom="0.75" header="0.3" footer="0.3"/>
  <x:drawing xmlns:r="http://schemas.openxmlformats.org/officeDocument/2006/relationships" r:id="Rc7d1ac4285db4478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  <x:col min="3" max="3" width="22" hidden="0" customWidth="1"/>
    <x:col min="4" max="4" width="42" hidden="0" customWidth="1"/>
    <x:col min="5" max="5" width="42" hidden="0" customWidth="1"/>
    <x:col min="6" max="6" width="16" hidden="0" customWidth="1"/>
  </x:cols>
  <x:sheetData>
    <x:row r="1" ht="34" customHeight="1">
      <x:c r="A1" s="179" t="str">
        <x:v>Outreach Workflow for Selling Ecuador Vanilla to Premium Manufacturers</x:v>
      </x:c>
    </x:row>
    <x:row r="3">
      <x:c r="A3" s="150" t="str">
        <x:v>Day</x:v>
      </x:c>
      <x:c r="B3" s="151" t="str">
        <x:v>Action</x:v>
      </x:c>
      <x:c r="C3" s="151" t="str">
        <x:v>Target group</x:v>
      </x:c>
      <x:c r="D3" s="151" t="str">
        <x:v>Output</x:v>
      </x:c>
      <x:c r="E3" s="151" t="str">
        <x:v>Decision rule</x:v>
      </x:c>
      <x:c r="F3" s="152" t="str">
        <x:v>Owner</x:v>
      </x:c>
    </x:row>
    <x:row r="4">
      <x:c r="A4" s="185" t="str">
        <x:v>Day 1</x:v>
      </x:c>
      <x:c r="B4" s="183" t="str">
        <x:v>Prepare supplier packet</x:v>
      </x:c>
      <x:c r="C4" s="183" t="str">
        <x:v>All targets</x:v>
      </x:c>
      <x:c r="D4" s="183" t="str">
        <x:v>COA, specs, photos, origin story, price ladder, Incoterms</x:v>
      </x:c>
      <x:c r="E4" s="183" t="str">
        <x:v>No outreach without complete technical packet</x:v>
      </x:c>
      <x:c r="F4" s="186" t="str"/>
    </x:row>
    <x:row r="5">
      <x:c r="A5" s="185" t="str">
        <x:v>Days 1–2</x:v>
      </x:c>
      <x:c r="B5" s="183" t="str">
        <x:v>Contact top 30</x:v>
      </x:c>
      <x:c r="C5" s="183" t="str">
        <x:v>Tier A / fast and medium</x:v>
      </x:c>
      <x:c r="D5" s="183" t="str">
        <x:v>30 personalized emails + LinkedIn messages</x:v>
      </x:c>
      <x:c r="E5" s="183" t="str">
        <x:v>Move any buyer asking specs to sample-qualification call</x:v>
      </x:c>
      <x:c r="F5" s="186" t="str"/>
    </x:row>
    <x:row r="6">
      <x:c r="A6" s="185" t="str">
        <x:v>Days 3–5</x:v>
      </x:c>
      <x:c r="B6" s="183" t="str">
        <x:v>Call and follow up</x:v>
      </x:c>
      <x:c r="C6" s="183" t="str">
        <x:v>Companies with phone or public routing email</x:v>
      </x:c>
      <x:c r="D6" s="183" t="str">
        <x:v>10–20 routed conversations</x:v>
      </x:c>
      <x:c r="E6" s="183" t="str">
        <x:v>Ask for vanilla buyer by role, not generic purchasing</x:v>
      </x:c>
      <x:c r="F6" s="186" t="str"/>
    </x:row>
    <x:row r="7">
      <x:c r="A7" s="185" t="str">
        <x:v>Week 2</x:v>
      </x:c>
      <x:c r="B7" s="183" t="str">
        <x:v>Send samples</x:v>
      </x:c>
      <x:c r="C7" s="183" t="str">
        <x:v>Qualified buyers only</x:v>
      </x:c>
      <x:c r="D7" s="183" t="str">
        <x:v>Physical samples shipped with spec sheet and tracking</x:v>
      </x:c>
      <x:c r="E7" s="183" t="str">
        <x:v>Only send after buyer confirms application and volume range</x:v>
      </x:c>
      <x:c r="F7" s="186" t="str"/>
    </x:row>
    <x:row r="8">
      <x:c r="A8" s="185" t="str">
        <x:v>Week 3</x:v>
      </x:c>
      <x:c r="B8" s="183" t="str">
        <x:v>Quote trial lots</x:v>
      </x:c>
      <x:c r="C8" s="183" t="str">
        <x:v>Sample recipients</x:v>
      </x:c>
      <x:c r="D8" s="183" t="str">
        <x:v>5kg, 25kg, 100kg offers</x:v>
      </x:c>
      <x:c r="E8" s="183" t="str">
        <x:v>Push for paid pilot or written evaluation date</x:v>
      </x:c>
      <x:c r="F8" s="186" t="str"/>
    </x:row>
    <x:row r="9">
      <x:c r="A9" s="185" t="str">
        <x:v>Week 4</x:v>
      </x:c>
      <x:c r="B9" s="183" t="str">
        <x:v>Create urgency</x:v>
      </x:c>
      <x:c r="C9" s="183" t="str">
        <x:v>All engaged buyers</x:v>
      </x:c>
      <x:c r="D9" s="183" t="str">
        <x:v>Limited-lot allocation note</x:v>
      </x:c>
      <x:c r="E9" s="183" t="str">
        <x:v>Allocate inventory to fastest buyers and highest margin</x:v>
      </x:c>
      <x:c r="F9" s="186" t="str"/>
    </x:row>
    <x:row r="10">
      <x:c r="A10" s="187" t="str">
        <x:v>Weeks 5–8</x:v>
      </x:c>
      <x:c r="B10" s="188" t="str">
        <x:v>Scale to Tier B</x:v>
      </x:c>
      <x:c r="C10" s="188" t="str">
        <x:v>Large strategic buyers</x:v>
      </x:c>
      <x:c r="D10" s="188" t="str">
        <x:v>Supplier registration and technical submissions</x:v>
      </x:c>
      <x:c r="E10" s="188" t="str">
        <x:v>Do not let slow multinationals block faster specialty deals</x:v>
      </x:c>
      <x:c r="F10" s="189" t="str"/>
    </x:row>
    <x:row r="13" ht="76" customHeight="1">
      <x:c r="A13" s="197" t="str">
        <x:v>Initial Email Subject</x:v>
      </x:c>
      <x:c r="B13" s="198" t="str">
        <x:v>Premium Ecuador vanilla available for [Company] product development / sourcing review</x:v>
      </x:c>
    </x:row>
    <x:row r="14" ht="76" customHeight="1">
      <x:c r="A14" s="199" t="str">
        <x:v>Initial Email Body</x:v>
      </x:c>
      <x:c r="B14" s="186" t="str">
        <x:v>Hello [Name],
I’m reaching out because we have 2,000 kg of high-quality vanilla in Ecuador and are opening a small number of direct manufacturer accounts globally.
I believe it may fit [Company] because of your premium [ice cream/chocolate/bakery/beverage/spirits] portfolio. We can provide specs, COA, photos, origin details, packing information, Incoterms, and a commercial sample.
Who is the right person responsible for vanilla, natural flavor ingredients, botanical sourcing, or product-development raw materials?
Thank you,
[Your Name]</x:v>
      </x:c>
    </x:row>
    <x:row r="15" ht="76" customHeight="1">
      <x:c r="A15" s="199" t="str">
        <x:v>LinkedIn Message</x:v>
      </x:c>
      <x:c r="B15" s="186" t="str">
        <x:v>Hi [Name], I’m looking for the person at [Company] responsible for vanilla / natural ingredient sourcing. We have 2,000 kg of premium Ecuador vanilla available with documentation and samples. Is that you, or could you point me to the right buyer?</x:v>
      </x:c>
    </x:row>
    <x:row r="16" ht="76" customHeight="1">
      <x:c r="A16" s="199" t="str">
        <x:v>Phone Script</x:v>
      </x:c>
      <x:c r="B16" s="186" t="str">
        <x:v>I’m calling to find the person responsible for vanilla or natural ingredient sourcing for your [product category]. We are not selling finished consumer products—we are offering documented Ecuador-origin vanilla for manufacturer evaluation. Who handles that category?</x:v>
      </x:c>
    </x:row>
    <x:row r="17" ht="76" customHeight="1">
      <x:c r="A17" s="199" t="str">
        <x:v>Buyer Qualification Questions</x:v>
      </x:c>
      <x:c r="B17" s="186" t="str">
        <x:v>1. Do you buy vanilla beans directly, or only extracts/flavors?
2. What applications are you evaluating: ice cream, chocolate, bakery, beverage, yogurt, liqueur?
3. What annual or project volume range is realistic?
4. What documents are required before samples?
5. What Incoterm and port/country do you prefer?
6. When is the next formulation or sourcing review?</x:v>
      </x:c>
    </x:row>
    <x:row r="18" ht="76" customHeight="1">
      <x:c r="A18" s="200" t="str">
        <x:v>Sample Gate</x:v>
      </x:c>
      <x:c r="B18" s="189" t="str">
        <x:v>Send samples only after the buyer provides: role/title, company email, application, likely quantity, required specs, country/import requirements, and evaluation timeline.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0" hidden="0" customWidth="1"/>
  </x:cols>
  <x:sheetData>
    <x:row r="1" ht="34" customHeight="1">
      <x:c r="A1" s="179" t="str">
        <x:v>Data Notes &amp; Use Instructions</x:v>
      </x:c>
    </x:row>
    <x:row r="3" ht="52" customHeight="1">
      <x:c r="A3" s="197" t="str">
        <x:v>Purpose</x:v>
      </x:c>
      <x:c r="B3" s="198" t="str">
        <x:v>This workbook identifies 120 premium manufacturers and brand owners that could plausibly buy or influence purchase of high-quality vanilla from Ecuador.</x:v>
      </x:c>
    </x:row>
    <x:row r="4" ht="52" customHeight="1">
      <x:c r="A4" s="199" t="str">
        <x:v>Not a consumer list</x:v>
      </x:c>
      <x:c r="B4" s="186" t="str">
        <x:v>Targets were selected for premium chocolate, ice cream/dairy, bakery/desserts, beverage/plant-based/syrup and spirits/liqueur relevance.</x:v>
      </x:c>
    </x:row>
    <x:row r="5" ht="52" customHeight="1">
      <x:c r="A5" s="199" t="str">
        <x:v>Contact data</x:v>
      </x:c>
      <x:c r="B5" s="186" t="str">
        <x:v>Public emails and phone numbers are included where visible from official/company-facing sources or clearly public pages. Many premium manufacturers do not publish procurement emails; those rows use official contact forms, supplier portals or role-based routing.</x:v>
      </x:c>
    </x:row>
    <x:row r="6" ht="52" customHeight="1">
      <x:c r="A6" s="199" t="str">
        <x:v>Recommended first move</x:v>
      </x:c>
      <x:c r="B6" s="186" t="str">
        <x:v>Contact the Top 30 Immediate Targets first, then the remaining Tier A rows, then Tier B strategic buyers in parallel.</x:v>
      </x:c>
    </x:row>
    <x:row r="7" ht="52" customHeight="1">
      <x:c r="A7" s="199" t="str">
        <x:v>Do not send samples blindly</x:v>
      </x:c>
      <x:c r="B7" s="186" t="str">
        <x:v>Qualify the buyer first. Samples should go to the person responsible for ingredient sourcing, product development, procurement or R&amp;D.</x:v>
      </x:c>
    </x:row>
    <x:row r="8" ht="52" customHeight="1">
      <x:c r="A8" s="199" t="str">
        <x:v>Technical packet</x:v>
      </x:c>
      <x:c r="B8" s="186" t="str">
        <x:v>Prepare COA, spec sheet, microbiology, pesticide residues, heavy metals, moisture, origin/farm traceability, crop year, photos, packing sizes, MOQ, price ladder and Incoterms.</x:v>
      </x:c>
    </x:row>
    <x:row r="9" ht="52" customHeight="1">
      <x:c r="A9" s="199" t="str">
        <x:v>Pricing strategy</x:v>
      </x:c>
      <x:c r="B9" s="186" t="str">
        <x:v>Quote different tiers: specialty/luxury buyers may pay more for small lots; large manufacturers need lower pricing, documentation and reliability.</x:v>
      </x:c>
    </x:row>
    <x:row r="10" ht="52" customHeight="1">
      <x:c r="A10" s="199" t="str">
        <x:v>Verification</x:v>
      </x:c>
      <x:c r="B10" s="186" t="str">
        <x:v>Contacts can change. Verify any email, phone, URL or buyer role on the official website before sending samples, contracts or invoices.</x:v>
      </x:c>
    </x:row>
    <x:row r="11" ht="52" customHeight="1">
      <x:c r="A11" s="199" t="str">
        <x:v>Best outreach channel</x:v>
      </x:c>
      <x:c r="B11" s="186" t="str">
        <x:v>Use official contact/supplier route plus LinkedIn search for: Procurement, Strategic Sourcing, Ingredient Sourcing, R&amp;D, Product Development, Supply Chain, Natural Ingredients, Vanilla Buyer.</x:v>
      </x:c>
    </x:row>
    <x:row r="12" ht="52" customHeight="1">
      <x:c r="A12" s="200" t="str">
        <x:v>Fastest revenue path</x:v>
      </x:c>
      <x:c r="B12" s="189" t="str">
        <x:v>Mid-sized premium manufacturers, contract manufacturers, ice cream/gelato brands, custom inclusion manufacturers and syrup/liqueur producers are usually faster than multinational brand owners.</x:v>
      </x:c>
    </x:row>
  </x:sheetData>
  <x:mergeCells>
    <x:mergeCell ref="A1:B1"/>
  </x:mergeCells>
  <x:pageMargins left="0.7" right="0.7" top="0.75" bottom="0.75" header="0.3" footer="0.3"/>
</x:worksheet>
</file>