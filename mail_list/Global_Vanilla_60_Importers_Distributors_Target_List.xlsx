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d5ae98e02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 &amp; Strategy" sheetId="1" r:id="R6d5f2bb3b2d24a37"/>
    <x:sheet xmlns:r="http://schemas.openxmlformats.org/officeDocument/2006/relationships" name="60 Importers Distributors" sheetId="2" r:id="R6363ea56788a4be7"/>
    <x:sheet xmlns:r="http://schemas.openxmlformats.org/officeDocument/2006/relationships" name="Top 20 Priority" sheetId="3" r:id="R9f3afe7976f84005"/>
    <x:sheet xmlns:r="http://schemas.openxmlformats.org/officeDocument/2006/relationships" name="Outreach Templates" sheetId="4" r:id="R04d58ae3b72f468b"/>
    <x:sheet xmlns:r="http://schemas.openxmlformats.org/officeDocument/2006/relationships" name="CRM Tracker" sheetId="5" r:id="R69efe8bd7f654e87"/>
    <x:sheet xmlns:r="http://schemas.openxmlformats.org/officeDocument/2006/relationships" name="Source Notes" sheetId="6" r:id="Rb5686964a3b8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$#,##0.00"/>
    <x:numFmt numFmtId="203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72A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EAF4EE"/>
      </x:patternFill>
    </x:fill>
    <x:fill>
      <x:patternFill patternType="solid">
        <x:fgColor rgb="FFFAFBFA"/>
      </x:patternFill>
    </x:fill>
    <x:fill>
      <x:patternFill patternType="solid">
        <x:fgColor rgb="FFD6A329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2" fillId="3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16" xfId="0" applyNumberFormat="1" applyFont="1" applyFill="1" applyBorder="1" applyAlignment="1">
      <x:alignment vertical="top" wrapText="1"/>
    </x:xf>
    <x:xf numFmtId="201" fontId="4" fillId="4" borderId="6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0" borderId="9" xfId="0" applyNumberFormat="1" applyFont="1" applyFill="1" applyBorder="1" applyAlignment="1">
      <x:alignment vertical="top" wrapText="1"/>
    </x:xf>
    <x:xf numFmtId="201" fontId="4" fillId="4" borderId="14" xfId="0" applyNumberFormat="1" applyFont="1" applyFill="1" applyBorder="1" applyAlignment="1">
      <x:alignment vertical="top" wrapText="1"/>
    </x:xf>
    <x:xf numFmtId="201" fontId="4" fillId="0" borderId="14" xfId="0" applyNumberFormat="1" applyFont="1" applyFill="1" applyBorder="1" applyAlignment="1">
      <x:alignment vertical="top" wrapText="1"/>
    </x:xf>
    <x:xf numFmtId="201" fontId="4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6" fillId="2" borderId="1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16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FF3C4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FF3C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d78adeeb946b1" /><Relationship Type="http://schemas.openxmlformats.org/officeDocument/2006/relationships/theme" Target="/xl/theme/theme1.xml" Id="R254b88e3f80a4ed1" /><Relationship Type="http://schemas.openxmlformats.org/officeDocument/2006/relationships/sharedStrings" Target="/xl/sharedStrings.xml" Id="Rf36d5c27be23463f" /><Relationship Type="http://schemas.openxmlformats.org/officeDocument/2006/relationships/worksheet" Target="/xl/worksheets/sheet1.xml" Id="R6d5f2bb3b2d24a37" /><Relationship Type="http://schemas.openxmlformats.org/officeDocument/2006/relationships/worksheet" Target="/xl/worksheets/sheet2.xml" Id="R6363ea56788a4be7" /><Relationship Type="http://schemas.openxmlformats.org/officeDocument/2006/relationships/worksheet" Target="/xl/worksheets/sheet3.xml" Id="R9f3afe7976f84005" /><Relationship Type="http://schemas.openxmlformats.org/officeDocument/2006/relationships/worksheet" Target="/xl/worksheets/sheet4.xml" Id="R04d58ae3b72f468b" /><Relationship Type="http://schemas.openxmlformats.org/officeDocument/2006/relationships/worksheet" Target="/xl/worksheets/sheet5.xml" Id="R69efe8bd7f654e87" /><Relationship Type="http://schemas.openxmlformats.org/officeDocument/2006/relationships/worksheet" Target="/xl/worksheets/sheet6.xml" Id="Rb5686964a3b84764" /></Relationships>
</file>

<file path=xl/tables/table1.xml><?xml version="1.0" encoding="utf-8"?>
<x:table xmlns:x="http://schemas.openxmlformats.org/spreadsheetml/2006/main" id="1" name="ImporterDistributorTargets" displayName="ImporterDistributorTargets" ref="A1:X61" headerRowCount="1">
  <x:tableColumns count="24">
    <x:tableColumn id="1" name="Rank"/>
    <x:tableColumn id="2" name="Company"/>
    <x:tableColumn id="3" name="Buyer Type"/>
    <x:tableColumn id="4" name="HQ / Primary Country"/>
    <x:tableColumn id="5" name="Best Regions"/>
    <x:tableColumn id="6" name="Vanilla Channel Fit"/>
    <x:tableColumn id="7" name="Buyer Fit"/>
    <x:tableColumn id="8" name="Priority Tier"/>
    <x:tableColumn id="9" name="Fast-Sale Potential (kg)"/>
    <x:tableColumn id="10" name="Best Buyer Role"/>
    <x:tableColumn id="11" name="Public Contact Name"/>
    <x:tableColumn id="12" name="Public Email"/>
    <x:tableColumn id="13" name="Public Phone"/>
    <x:tableColumn id="14" name="Contact URL"/>
    <x:tableColumn id="15" name="Website"/>
    <x:tableColumn id="16" name="Procurement Route"/>
    <x:tableColumn id="17" name="Why It Matters"/>
    <x:tableColumn id="18" name="Recommended First Approach"/>
    <x:tableColumn id="19" name="Suggested Offer"/>
    <x:tableColumn id="20" name="Incoterm / Payment Notes"/>
    <x:tableColumn id="21" name="Expected Speed"/>
    <x:tableColumn id="22" name="Data Confidence"/>
    <x:tableColumn id="23" name="Source URL"/>
    <x:tableColumn id="24" name="Last Verified"/>
  </x:tableColumns>
  <x:tableStyleInfo name="TableStyleMedium2" showRowStripes="1"/>
</x:table>
</file>

<file path=xl/tables/table2.xml><?xml version="1.0" encoding="utf-8"?>
<x:table xmlns:x="http://schemas.openxmlformats.org/spreadsheetml/2006/main" id="2" name="Top20PriorityTable" displayName="Top20PriorityTable" ref="A1:L21" headerRowCount="1">
  <x:tableColumns count="12">
    <x:tableColumn id="1" name="Rank"/>
    <x:tableColumn id="2" name="Company"/>
    <x:tableColumn id="3" name="Buyer Type"/>
    <x:tableColumn id="4" name="HQ / Country"/>
    <x:tableColumn id="5" name="Buyer Fit"/>
    <x:tableColumn id="6" name="Priority"/>
    <x:tableColumn id="7" name="Potential kg"/>
    <x:tableColumn id="8" name="Best Buyer Role"/>
    <x:tableColumn id="9" name="Public Email"/>
    <x:tableColumn id="10" name="Public Phone"/>
    <x:tableColumn id="11" name="Contact URL"/>
    <x:tableColumn id="12" name="First Move"/>
  </x:tableColumns>
  <x:tableStyleInfo name="TableStyleMedium2" showRowStripes="1"/>
</x:table>
</file>

<file path=xl/tables/table3.xml><?xml version="1.0" encoding="utf-8"?>
<x:table xmlns:x="http://schemas.openxmlformats.org/spreadsheetml/2006/main" id="3" name="CRMTrackerTable" displayName="CRMTrackerTable" ref="A1:P61" headerRowCount="1">
  <x:tableColumns count="16">
    <x:tableColumn id="1" name="Rank"/>
    <x:tableColumn id="2" name="Company"/>
    <x:tableColumn id="3" name="Priority"/>
    <x:tableColumn id="4" name="Owner"/>
    <x:tableColumn id="5" name="Status"/>
    <x:tableColumn id="6" name="Last Contact"/>
    <x:tableColumn id="7" name="Next Follow-up"/>
    <x:tableColumn id="8" name="Contacted?"/>
    <x:tableColumn id="9" name="Sample Sent?"/>
    <x:tableColumn id="10" name="Sample Result"/>
    <x:tableColumn id="11" name="Quoted Price/kg"/>
    <x:tableColumn id="12" name="Est. kg"/>
    <x:tableColumn id="13" name="Probability"/>
    <x:tableColumn id="14" name="Weighted kg"/>
    <x:tableColumn id="15" name="Next Step"/>
    <x:tableColumn id="1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61" headerRowCount="1">
  <x:tableColumns count="3">
    <x:tableColumn id="1" name="Company"/>
    <x:tableColumn id="2" name="Primary Source URL"/>
    <x:tableColumn id="3" name="Contact Verification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afe2fa058c4c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95144c224249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9a67f49cb004e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fba5bb86cbb482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24" hidden="0" customWidth="1"/>
    <x:col min="4" max="4" width="34" hidden="0" customWidth="1"/>
  </x:cols>
  <x:sheetData>
    <x:row r="1" ht="34" customHeight="1">
      <x:c r="A1" s="22" t="str">
        <x:v>Premium Vanilla Importer &amp; Distributor Target List</x:v>
      </x:c>
      <x:c r="B1" s="23"/>
      <x:c r="C1" s="23"/>
      <x:c r="D1" s="24"/>
    </x:row>
    <x:row r="2">
      <x:c r="A2" s="25" t="str">
        <x:v>Purpose</x:v>
      </x:c>
      <x:c r="B2" s="19" t="str">
        <x:v>60 importers, distributors, ingredient houses and premium specialty channels to contact for selling high-quality vanilla from Ecuador.</x:v>
      </x:c>
      <x:c r="C2" s="13" t="str"/>
      <x:c r="D2" s="26" t="str"/>
    </x:row>
    <x:row r="3">
      <x:c r="A3" s="25" t="str">
        <x:v>Prepared</x:v>
      </x:c>
      <x:c r="B3" s="19" t="str">
        <x:v>July 10, 2026</x:v>
      </x:c>
      <x:c r="C3" s="13" t="str"/>
      <x:c r="D3" s="26" t="str"/>
    </x:row>
    <x:row r="4">
      <x:c r="A4" s="25" t="str">
        <x:v>How to use</x:v>
      </x:c>
      <x:c r="B4" s="19" t="str">
        <x:v>Start with Tier A, especially vanilla-specific importers and distributors. Call first, then email the technical packet, then ship samples only after a named buyer confirms interest.</x:v>
      </x:c>
      <x:c r="C4" s="13" t="str"/>
      <x:c r="D4" s="26" t="str"/>
    </x:row>
    <x:row r="5">
      <x:c r="A5" s="25" t="str">
        <x:v>Public contact policy</x:v>
      </x:c>
      <x:c r="B5" s="19" t="str">
        <x:v>Emails and phones are included where public. If a buyer does not publish a direct procurement email, the workbook uses official contact forms or supplier portals instead of guessing.</x:v>
      </x:c>
      <x:c r="C5" s="13" t="str"/>
      <x:c r="D5" s="26" t="str"/>
    </x:row>
    <x:row r="6">
      <x:c r="A6" s="25" t="str">
        <x:v>Supplier packet</x:v>
      </x:c>
      <x:c r="B6" s="19" t="str">
        <x:v>Product spec, COA, photos, moisture, vanillin/sensory analysis, pesticide/heavy metal/micro testing, grade split, crop year, packing, MOQ, price, Incoterm, available kilograms and sample policy.</x:v>
      </x:c>
      <x:c r="C6" s="13" t="str"/>
      <x:c r="D6" s="26" t="str"/>
    </x:row>
    <x:row r="7">
      <x:c r="A7" s="25" t="str">
        <x:v>Fastest route</x:v>
      </x:c>
      <x:c r="B7" s="19" t="str">
        <x:v>Direct vanilla specialists and spice importers are likely faster than global distributors. Global distributors can move more volume, but usually require formal vendor qualification.</x:v>
      </x:c>
      <x:c r="C7" s="13" t="str"/>
      <x:c r="D7" s="26" t="str"/>
    </x:row>
    <x:row r="8">
      <x:c r="A8" s="25" t="str">
        <x:v>Negotiation rule</x:v>
      </x:c>
      <x:c r="B8" s="19" t="str">
        <x:v>Do not offer exclusivity until a buyer places a paid order or signs a purchase commitment with minimum volumes.</x:v>
      </x:c>
      <x:c r="C8" s="13" t="str"/>
      <x:c r="D8" s="26" t="str"/>
    </x:row>
    <x:row r="9">
      <x:c r="A9" s="25" t="str">
        <x:v>Total targets</x:v>
      </x:c>
      <x:c r="B9" s="19" t="n">
        <x:f>COUNTA('60 Importers Distributors'!B2:B61)</x:f>
        <x:v>60</x:v>
      </x:c>
      <x:c r="C9" s="13" t="str">
        <x:v>Tier A targets</x:v>
      </x:c>
      <x:c r="D9" s="26" t="n">
        <x:f>COUNTIF('60 Importers Distributors'!H2:H61,"A")</x:f>
        <x:v>24</x:v>
      </x:c>
    </x:row>
    <x:row r="10">
      <x:c r="A10" s="25" t="str">
        <x:v>Tier B targets</x:v>
      </x:c>
      <x:c r="B10" s="19" t="n">
        <x:f>COUNTIF('60 Importers Distributors'!H2:H61,"B")</x:f>
        <x:v>27</x:v>
      </x:c>
      <x:c r="C10" s="13" t="str">
        <x:v>Tier C targets</x:v>
      </x:c>
      <x:c r="D10" s="26" t="n">
        <x:f>COUNTIF('60 Importers Distributors'!H2:H61,"C")</x:f>
        <x:v>9</x:v>
      </x:c>
    </x:row>
    <x:row r="11">
      <x:c r="A11" s="25" t="str">
        <x:v>Total fast-sale potential</x:v>
      </x:c>
      <x:c r="B11" s="19" t="n">
        <x:f>SUM('60 Importers Distributors'!I2:I61)</x:f>
        <x:v>16425</x:v>
      </x:c>
      <x:c r="C11" s="13" t="str">
        <x:v>Tier A fast-sale potential</x:v>
      </x:c>
      <x:c r="D11" s="26" t="n">
        <x:f>SUMIF('60 Importers Distributors'!H2:H61,"A",'60 Importers Distributors'!I2:I61)</x:f>
        <x:v>4925</x:v>
      </x:c>
    </x:row>
    <x:row r="12">
      <x:c r="A12" s="27" t="str">
        <x:v>Immediate first 10</x:v>
      </x:c>
      <x:c r="B12" s="28" t="str">
        <x:v>Aust &amp; Hachmann; De Monchy; Eurovanille; Natural Vanilla; Slofoodgroup; Vanillas of the World; Vanilla Bean Kings; Beanilla; Tradin Organic; Kalustyan.</x:v>
      </x:c>
      <x:c r="C12" s="29" t="str"/>
      <x:c r="D12" s="30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27" hidden="0" customWidth="1"/>
    <x:col min="4" max="4" width="22" hidden="0" customWidth="1"/>
    <x:col min="5" max="5" width="26" hidden="0" customWidth="1"/>
    <x:col min="6" max="6" width="35" hidden="0" customWidth="1"/>
    <x:col min="7" max="7" width="14" hidden="0" customWidth="1"/>
    <x:col min="8" max="8" width="12" hidden="0" customWidth="1"/>
    <x:col min="9" max="9" width="16" hidden="0" customWidth="1"/>
    <x:col min="10" max="10" width="30" hidden="0" customWidth="1"/>
    <x:col min="11" max="11" width="28" hidden="0" customWidth="1"/>
    <x:col min="12" max="12" width="38" hidden="0" customWidth="1"/>
    <x:col min="13" max="13" width="27" hidden="0" customWidth="1"/>
    <x:col min="14" max="14" width="40" hidden="0" customWidth="1"/>
    <x:col min="15" max="15" width="34" hidden="0" customWidth="1"/>
    <x:col min="16" max="16" width="42" hidden="0" customWidth="1"/>
    <x:col min="17" max="17" width="44" hidden="0" customWidth="1"/>
    <x:col min="18" max="18" width="48" hidden="0" customWidth="1"/>
    <x:col min="19" max="19" width="35" hidden="0" customWidth="1"/>
    <x:col min="20" max="20" width="38" hidden="0" customWidth="1"/>
    <x:col min="21" max="21" width="17" hidden="0" customWidth="1"/>
    <x:col min="22" max="22" width="26" hidden="0" customWidth="1"/>
    <x:col min="23" max="23" width="42" hidden="0" customWidth="1"/>
    <x:col min="24" max="24" width="14" hidden="0" customWidth="1"/>
  </x:cols>
  <x:sheetData>
    <x:row r="1" ht="40" customHeight="1">
      <x:c r="A1" s="54" t="str">
        <x:v>Rank</x:v>
      </x:c>
      <x:c r="B1" s="55" t="str">
        <x:v>Company</x:v>
      </x:c>
      <x:c r="C1" s="55" t="str">
        <x:v>Buyer Type</x:v>
      </x:c>
      <x:c r="D1" s="55" t="str">
        <x:v>HQ / Primary Country</x:v>
      </x:c>
      <x:c r="E1" s="55" t="str">
        <x:v>Best Regions</x:v>
      </x:c>
      <x:c r="F1" s="55" t="str">
        <x:v>Vanilla Channel Fit</x:v>
      </x:c>
      <x:c r="G1" s="55" t="str">
        <x:v>Buyer Fit</x:v>
      </x:c>
      <x:c r="H1" s="55" t="str">
        <x:v>Priority Tier</x:v>
      </x:c>
      <x:c r="I1" s="55" t="str">
        <x:v>Fast-Sale Potential (kg)</x:v>
      </x:c>
      <x:c r="J1" s="55" t="str">
        <x:v>Best Buyer Role</x:v>
      </x:c>
      <x:c r="K1" s="55" t="str">
        <x:v>Public Contact Name</x:v>
      </x:c>
      <x:c r="L1" s="55" t="str">
        <x:v>Public Email</x:v>
      </x:c>
      <x:c r="M1" s="55" t="str">
        <x:v>Public Phone</x:v>
      </x:c>
      <x:c r="N1" s="55" t="str">
        <x:v>Contact URL</x:v>
      </x:c>
      <x:c r="O1" s="55" t="str">
        <x:v>Website</x:v>
      </x:c>
      <x:c r="P1" s="55" t="str">
        <x:v>Procurement Route</x:v>
      </x:c>
      <x:c r="Q1" s="55" t="str">
        <x:v>Why It Matters</x:v>
      </x:c>
      <x:c r="R1" s="55" t="str">
        <x:v>Recommended First Approach</x:v>
      </x:c>
      <x:c r="S1" s="55" t="str">
        <x:v>Suggested Offer</x:v>
      </x:c>
      <x:c r="T1" s="55" t="str">
        <x:v>Incoterm / Payment Notes</x:v>
      </x:c>
      <x:c r="U1" s="55" t="str">
        <x:v>Expected Speed</x:v>
      </x:c>
      <x:c r="V1" s="55" t="str">
        <x:v>Data Confidence</x:v>
      </x:c>
      <x:c r="W1" s="55" t="str">
        <x:v>Source URL</x:v>
      </x:c>
      <x:c r="X1" s="56" t="str">
        <x:v>Last Verified</x:v>
      </x:c>
    </x:row>
    <x:row r="2">
      <x:c r="A2" s="70" t="n">
        <x:v>1</x:v>
      </x:c>
      <x:c r="B2" s="71" t="str">
        <x:v>Aust &amp; Hachmann</x:v>
      </x:c>
      <x:c r="C2" s="71" t="str">
        <x:v>Vanilla importer / specialist</x:v>
      </x:c>
      <x:c r="D2" s="71" t="str">
        <x:v>Germany / Canada</x:v>
      </x:c>
      <x:c r="E2" s="71" t="str">
        <x:v>Europe; Canada; global</x:v>
      </x:c>
      <x:c r="F2" s="71" t="str">
        <x:v>Bulk beans; extraction grade; gourmet grade; industrial vanilla</x:v>
      </x:c>
      <x:c r="G2" s="71" t="str">
        <x:v>Very High</x:v>
      </x:c>
      <x:c r="H2" s="71" t="str">
        <x:v>A</x:v>
      </x:c>
      <x:c r="I2" s="76" t="n">
        <x:v>400</x:v>
      </x:c>
      <x:c r="J2" s="71" t="str">
        <x:v>Vanilla purchasing / trading desk</x:v>
      </x:c>
      <x:c r="K2" s="71" t="str">
        <x:v>Not publicly listed</x:v>
      </x:c>
      <x:c r="L2" s="71" t="str">
        <x:v>info@austhachmann.com</x:v>
      </x:c>
      <x:c r="M2" s="71" t="str">
        <x:v>+49 (0)40 311670-0</x:v>
      </x:c>
      <x:c r="N2" s="71" t="str">
        <x:v>https://austhachmann.de/</x:v>
      </x:c>
      <x:c r="O2" s="71" t="str">
        <x:v>https://austhachmann.de/</x:v>
      </x:c>
      <x:c r="P2" s="71" t="str">
        <x:v>Email/call vanilla trading team; ask who buys whole beans and extraction-grade vanilla.</x:v>
      </x:c>
      <x:c r="Q2" s="71" t="str">
        <x:v>Long-established vanilla trader and processor with direct relevance to bulk vanilla.</x:v>
      </x:c>
      <x:c r="R2" s="71" t="str">
        <x:v>Send commercial supplier intro with photos, grade split, moisture, vanillin/sensory data, COA and immediately available kilograms.</x:v>
      </x:c>
      <x:c r="S2" s="71" t="str">
        <x:v>50-300 kg evaluation lot; option for 500+ kg staged shipment.</x:v>
      </x:c>
      <x:c r="T2" s="71" t="str">
        <x:v>Offer FOB Guayaquil plus CIF Hamburg/Montreal. Require 30-50% deposit or LC for first shipment.</x:v>
      </x:c>
      <x:c r="U2" s="71" t="str">
        <x:v>Fast-Medium</x:v>
      </x:c>
      <x:c r="V2" s="71" t="str">
        <x:v>A - official public contact</x:v>
      </x:c>
      <x:c r="W2" s="71" t="str">
        <x:v>https://austhachmann.de/</x:v>
      </x:c>
      <x:c r="X2" s="82" t="n">
        <x:v>46213</x:v>
      </x:c>
    </x:row>
    <x:row r="3">
      <x:c r="A3" s="57" t="n">
        <x:v>2</x:v>
      </x:c>
      <x:c r="B3" s="50" t="str">
        <x:v>De Monchy Natural Products</x:v>
      </x:c>
      <x:c r="C3" s="50" t="str">
        <x:v>Natural ingredients importer / vanilla supplier</x:v>
      </x:c>
      <x:c r="D3" s="50" t="str">
        <x:v>Netherlands / United States</x:v>
      </x:c>
      <x:c r="E3" s="50" t="str">
        <x:v>Europe; North America; global</x:v>
      </x:c>
      <x:c r="F3" s="50" t="str">
        <x:v>Vanilla beans, powders and natural ingredient distribution</x:v>
      </x:c>
      <x:c r="G3" s="50" t="str">
        <x:v>Very High</x:v>
      </x:c>
      <x:c r="H3" s="50" t="str">
        <x:v>A</x:v>
      </x:c>
      <x:c r="I3" s="77" t="n">
        <x:v>500</x:v>
      </x:c>
      <x:c r="J3" s="50" t="str">
        <x:v>Vanilla category manager / procurement</x:v>
      </x:c>
      <x:c r="K3" s="50" t="str">
        <x:v>Not publicly listed</x:v>
      </x:c>
      <x:c r="L3" s="50" t="str">
        <x:v>info@monchy.com</x:v>
      </x:c>
      <x:c r="M3" s="50" t="str">
        <x:v>+31 (0)10 303 37 30; +1 215 806 1124</x:v>
      </x:c>
      <x:c r="N3" s="50" t="str">
        <x:v>https://monchynaturalproducts.com/contact/</x:v>
      </x:c>
      <x:c r="O3" s="50" t="str">
        <x:v>https://monchynaturalproducts.com/</x:v>
      </x:c>
      <x:c r="P3" s="50" t="str">
        <x:v>Use contact page and request routing to vanilla buyer or origin sourcing.</x:v>
      </x:c>
      <x:c r="Q3" s="50" t="str">
        <x:v>Industrial vanilla supplier with multi-origin portfolio and likely need for origin diversification.</x:v>
      </x:c>
      <x:c r="R3" s="50" t="str">
        <x:v>Pitch Ecuador vanilla as a differentiated origin with scalable inventory and sample lots ready.</x:v>
      </x:c>
      <x:c r="S3" s="50" t="str">
        <x:v>100-500 kg program; propose split by grade and moisture profile.</x:v>
      </x:c>
      <x:c r="T3" s="50" t="str">
        <x:v>Offer CIF Rotterdam or CIF New York/New Jersey; payment by LC or insured trade credit after approval.</x:v>
      </x:c>
      <x:c r="U3" s="50" t="str">
        <x:v>Medium</x:v>
      </x:c>
      <x:c r="V3" s="50" t="str">
        <x:v>A - official site / verify email</x:v>
      </x:c>
      <x:c r="W3" s="50" t="str">
        <x:v>https://monchynaturalproducts.com/contact/</x:v>
      </x:c>
      <x:c r="X3" s="83" t="n">
        <x:v>46213</x:v>
      </x:c>
    </x:row>
    <x:row r="4">
      <x:c r="A4" s="70" t="n">
        <x:v>3</x:v>
      </x:c>
      <x:c r="B4" s="71" t="str">
        <x:v>Eurovanille</x:v>
      </x:c>
      <x:c r="C4" s="71" t="str">
        <x:v>Vanilla importer / processor / distributor</x:v>
      </x:c>
      <x:c r="D4" s="71" t="str">
        <x:v>France</x:v>
      </x:c>
      <x:c r="E4" s="71" t="str">
        <x:v>Europe; global foodservice and industrial</x:v>
      </x:c>
      <x:c r="F4" s="71" t="str">
        <x:v>Vanilla beans, extracts, powders, pastes and B2B catalogue</x:v>
      </x:c>
      <x:c r="G4" s="71" t="str">
        <x:v>Very High</x:v>
      </x:c>
      <x:c r="H4" s="71" t="str">
        <x:v>A</x:v>
      </x:c>
      <x:c r="I4" s="76" t="n">
        <x:v>400</x:v>
      </x:c>
      <x:c r="J4" s="71" t="str">
        <x:v>Purchasing / origin sourcing</x:v>
      </x:c>
      <x:c r="K4" s="71" t="str">
        <x:v>Not publicly listed</x:v>
      </x:c>
      <x:c r="L4" s="71" t="str">
        <x:v>info@eurovanille.com</x:v>
      </x:c>
      <x:c r="M4" s="71" t="str">
        <x:v>+33 3 21 90 00 10</x:v>
      </x:c>
      <x:c r="N4" s="71" t="str">
        <x:v>https://www.eurovanille.com/en/contact/</x:v>
      </x:c>
      <x:c r="O4" s="71" t="str">
        <x:v>https://www.eurovanille.com/en/</x:v>
      </x:c>
      <x:c r="P4" s="71" t="str">
        <x:v>Use official contact and ask for purchasing/origin sourcing for bulk beans.</x:v>
      </x:c>
      <x:c r="Q4" s="71" t="str">
        <x:v>Dedicated vanilla specialist with B2B catalogue and processing capability.</x:v>
      </x:c>
      <x:c r="R4" s="71" t="str">
        <x:v>Lead with batch specs, photos, sensory notes and offer to ship 1 kg technical sample immediately.</x:v>
      </x:c>
      <x:c r="S4" s="71" t="str">
        <x:v>50-250 kg first order; 500 kg if they accept Ecuador-origin positioning.</x:v>
      </x:c>
      <x:c r="T4" s="71" t="str">
        <x:v>CIF Le Havre/Antwerp or DAP warehouse after credit approval; first order by LC/deposit.</x:v>
      </x:c>
      <x:c r="U4" s="71" t="str">
        <x:v>Medium</x:v>
      </x:c>
      <x:c r="V4" s="71" t="str">
        <x:v>A - official public contact</x:v>
      </x:c>
      <x:c r="W4" s="71" t="str">
        <x:v>https://www.eurovanille.com/en/contact/</x:v>
      </x:c>
      <x:c r="X4" s="82" t="n">
        <x:v>46213</x:v>
      </x:c>
    </x:row>
    <x:row r="5">
      <x:c r="A5" s="57" t="n">
        <x:v>4</x:v>
      </x:c>
      <x:c r="B5" s="50" t="str">
        <x:v>Natural Vanilla Group</x:v>
      </x:c>
      <x:c r="C5" s="50" t="str">
        <x:v>Vanilla wholesaler / importer / distributor</x:v>
      </x:c>
      <x:c r="D5" s="50" t="str">
        <x:v>United States / United Kingdom / Europe</x:v>
      </x:c>
      <x:c r="E5" s="50" t="str">
        <x:v>USA; UK; Europe; Australia; LATAM channels</x:v>
      </x:c>
      <x:c r="F5" s="50" t="str">
        <x:v>Bulk vanilla beans, powder, paste and extract for wholesale buyers</x:v>
      </x:c>
      <x:c r="G5" s="50" t="str">
        <x:v>Very High</x:v>
      </x:c>
      <x:c r="H5" s="50" t="str">
        <x:v>A</x:v>
      </x:c>
      <x:c r="I5" s="77" t="n">
        <x:v>250</x:v>
      </x:c>
      <x:c r="J5" s="50" t="str">
        <x:v>Operations / wholesale purchasing</x:v>
      </x:c>
      <x:c r="K5" s="50" t="str">
        <x:v>Daniel Henderson - public operations contact</x:v>
      </x:c>
      <x:c r="L5" s="50" t="str">
        <x:v>enquiry@naturalvanilla.us; enquiry@naturalvanilla.co.uk</x:v>
      </x:c>
      <x:c r="M5" s="50" t="str">
        <x:v>+1 917 764 4118; +44 20 3996 0893</x:v>
      </x:c>
      <x:c r="N5" s="50" t="str">
        <x:v>https://naturalvanilla.us/contact/</x:v>
      </x:c>
      <x:c r="O5" s="50" t="str">
        <x:v>https://naturalvanilla.us/</x:v>
      </x:c>
      <x:c r="P5" s="50" t="str">
        <x:v>Email regional wholesale teams and ask whether they buy Ecuador-origin beans or distribute on consignment.</x:v>
      </x:c>
      <x:c r="Q5" s="50" t="str">
        <x:v>Multi-region vanilla specialist with clear wholesale and B2B focus.</x:v>
      </x:c>
      <x:c r="R5" s="50" t="str">
        <x:v>Use a direct wholesale message: available 2,000 kg in Ecuador, premium quality, samples ready, seeking regional distributor.</x:v>
      </x:c>
      <x:c r="S5" s="50" t="str">
        <x:v>25-150 kg trial; repeat lots by region if response is strong.</x:v>
      </x:c>
      <x:c r="T5" s="50" t="str">
        <x:v>Start with prepaid or 50% deposit. Offer DHL samples, then air-freight 25-50 kg or sea for larger lots.</x:v>
      </x:c>
      <x:c r="U5" s="50" t="str">
        <x:v>Fast</x:v>
      </x:c>
      <x:c r="V5" s="50" t="str">
        <x:v>A - official regional contacts</x:v>
      </x:c>
      <x:c r="W5" s="50" t="str">
        <x:v>https://naturalvanilla.us/contact/</x:v>
      </x:c>
      <x:c r="X5" s="83" t="n">
        <x:v>46213</x:v>
      </x:c>
    </x:row>
    <x:row r="6">
      <x:c r="A6" s="70" t="n">
        <x:v>5</x:v>
      </x:c>
      <x:c r="B6" s="71" t="str">
        <x:v>Slofoodgroup</x:v>
      </x:c>
      <x:c r="C6" s="71" t="str">
        <x:v>Premium vanilla importer / gourmet distributor</x:v>
      </x:c>
      <x:c r="D6" s="71" t="str">
        <x:v>United States</x:v>
      </x:c>
      <x:c r="E6" s="71" t="str">
        <x:v>North America; online wholesale</x:v>
      </x:c>
      <x:c r="F6" s="71" t="str">
        <x:v>Wholesale vanilla beans, spices and gourmet ingredients</x:v>
      </x:c>
      <x:c r="G6" s="71" t="str">
        <x:v>Very High</x:v>
      </x:c>
      <x:c r="H6" s="71" t="str">
        <x:v>A</x:v>
      </x:c>
      <x:c r="I6" s="76" t="n">
        <x:v>150</x:v>
      </x:c>
      <x:c r="J6" s="71" t="str">
        <x:v>Product sourcing / wholesale purchasing</x:v>
      </x:c>
      <x:c r="K6" s="71" t="str">
        <x:v>Not publicly listed</x:v>
      </x:c>
      <x:c r="L6" s="71" t="str">
        <x:v>help@slofoodgroup.com; products@slofoodgroup.com</x:v>
      </x:c>
      <x:c r="M6" s="71" t="str">
        <x:v>+1 941 953 1493; +1 888 992 0141</x:v>
      </x:c>
      <x:c r="N6" s="71" t="str">
        <x:v>https://www.slofoodgroup.com/pages/contact</x:v>
      </x:c>
      <x:c r="O6" s="71" t="str">
        <x:v>https://www.slofoodgroup.com/</x:v>
      </x:c>
      <x:c r="P6" s="71" t="str">
        <x:v>Email product sourcing and wholesale support; follow with phone call.</x:v>
      </x:c>
      <x:c r="Q6" s="71" t="str">
        <x:v>Premium online gourmet channel that can test smaller high-margin lots quickly.</x:v>
      </x:c>
      <x:c r="R6" s="71" t="str">
        <x:v>Pitch a limited Ecuador-origin SKU or wholesale lot with story, photos and sensory profile.</x:v>
      </x:c>
      <x:c r="S6" s="71" t="str">
        <x:v>25-100 kg initial lot; push higher margin over commodity volume.</x:v>
      </x:c>
      <x:c r="T6" s="71" t="str">
        <x:v>Prepaid/credit card/wire for first lot; air freight for speed.</x:v>
      </x:c>
      <x:c r="U6" s="71" t="str">
        <x:v>Fast</x:v>
      </x:c>
      <x:c r="V6" s="71" t="str">
        <x:v>A - official contact plus public email</x:v>
      </x:c>
      <x:c r="W6" s="71" t="str">
        <x:v>https://www.slofoodgroup.com/pages/contact</x:v>
      </x:c>
      <x:c r="X6" s="82" t="n">
        <x:v>46213</x:v>
      </x:c>
    </x:row>
    <x:row r="7">
      <x:c r="A7" s="57" t="n">
        <x:v>6</x:v>
      </x:c>
      <x:c r="B7" s="50" t="str">
        <x:v>Vanillas of the World</x:v>
      </x:c>
      <x:c r="C7" s="50" t="str">
        <x:v>Vanilla wholesaler / importer</x:v>
      </x:c>
      <x:c r="D7" s="50" t="str">
        <x:v>United States</x:v>
      </x:c>
      <x:c r="E7" s="50" t="str">
        <x:v>North America; online wholesale</x:v>
      </x:c>
      <x:c r="F7" s="50" t="str">
        <x:v>Multi-origin vanilla beans and wholesale supply</x:v>
      </x:c>
      <x:c r="G7" s="50" t="str">
        <x:v>Very High</x:v>
      </x:c>
      <x:c r="H7" s="50" t="str">
        <x:v>A</x:v>
      </x:c>
      <x:c r="I7" s="77" t="n">
        <x:v>150</x:v>
      </x:c>
      <x:c r="J7" s="50" t="str">
        <x:v>Wholesale buyer / owner</x:v>
      </x:c>
      <x:c r="K7" s="50" t="str">
        <x:v>Ted Jones - public wholesale contact</x:v>
      </x:c>
      <x:c r="L7" s="50" t="str">
        <x:v>ted@vanillasoftheworld.com</x:v>
      </x:c>
      <x:c r="M7" s="50" t="str">
        <x:v>+1 208 832 8030</x:v>
      </x:c>
      <x:c r="N7" s="50" t="str">
        <x:v>https://vanillasoftheworld.com/pages/wholesale</x:v>
      </x:c>
      <x:c r="O7" s="50" t="str">
        <x:v>https://vanillasoftheworld.com/</x:v>
      </x:c>
      <x:c r="P7" s="50" t="str">
        <x:v>Email Ted directly with concise offer and ask for evaluation address.</x:v>
      </x:c>
      <x:c r="Q7" s="50" t="str">
        <x:v>They sell many origins and can add Ecuador as differentiated inventory.</x:v>
      </x:c>
      <x:c r="R7" s="50" t="str">
        <x:v>Send origin story, grade, length distribution, moisture, photos and 250 g sample offer.</x:v>
      </x:c>
      <x:c r="S7" s="50" t="str">
        <x:v>25-100 kg first order; higher if they want an Ecuador-origin line.</x:v>
      </x:c>
      <x:c r="T7" s="50" t="str">
        <x:v>Prepaid wire/ACH for first order; air freight acceptable for small lots.</x:v>
      </x:c>
      <x:c r="U7" s="50" t="str">
        <x:v>Fast</x:v>
      </x:c>
      <x:c r="V7" s="50" t="str">
        <x:v>A - official public wholesale contact</x:v>
      </x:c>
      <x:c r="W7" s="50" t="str">
        <x:v>https://vanillasoftheworld.com/pages/wholesale</x:v>
      </x:c>
      <x:c r="X7" s="83" t="n">
        <x:v>46213</x:v>
      </x:c>
    </x:row>
    <x:row r="8">
      <x:c r="A8" s="70" t="n">
        <x:v>7</x:v>
      </x:c>
      <x:c r="B8" s="71" t="str">
        <x:v>Vanilla Bean Kings</x:v>
      </x:c>
      <x:c r="C8" s="71" t="str">
        <x:v>Vanilla wholesaler / online distributor</x:v>
      </x:c>
      <x:c r="D8" s="71" t="str">
        <x:v>United States</x:v>
      </x:c>
      <x:c r="E8" s="71" t="str">
        <x:v>North America</x:v>
      </x:c>
      <x:c r="F8" s="71" t="str">
        <x:v>Vanilla beans, extracts and bulk/wholesale vanilla</x:v>
      </x:c>
      <x:c r="G8" s="71" t="str">
        <x:v>Very High</x:v>
      </x:c>
      <x:c r="H8" s="71" t="str">
        <x:v>A</x:v>
      </x:c>
      <x:c r="I8" s="76" t="n">
        <x:v>150</x:v>
      </x:c>
      <x:c r="J8" s="71" t="str">
        <x:v>Wholesale purchasing / sourcing</x:v>
      </x:c>
      <x:c r="K8" s="71" t="str">
        <x:v>Not publicly listed</x:v>
      </x:c>
      <x:c r="L8" s="71" t="str">
        <x:v>sales@vanillabeankings.com; support@vanillabeankings.com</x:v>
      </x:c>
      <x:c r="M8" s="71" t="str">
        <x:v>+1 605 368 1211</x:v>
      </x:c>
      <x:c r="N8" s="71" t="str">
        <x:v>https://www.vanillabeankings.com/pages/contact-us</x:v>
      </x:c>
      <x:c r="O8" s="71" t="str">
        <x:v>https://www.vanillabeankings.com/</x:v>
      </x:c>
      <x:c r="P8" s="71" t="str">
        <x:v>Use sales/support email and ask for sourcing or wholesale purchasing.</x:v>
      </x:c>
      <x:c r="Q8" s="71" t="str">
        <x:v>Fast-moving online vanilla channel that may trial new origin lots.</x:v>
      </x:c>
      <x:c r="R8" s="71" t="str">
        <x:v>Offer a fast sample and a clean wholesale lot with strong retail story.</x:v>
      </x:c>
      <x:c r="S8" s="71" t="str">
        <x:v>25-150 kg; divide into 5-10 kg wholesale cartons if needed.</x:v>
      </x:c>
      <x:c r="T8" s="71" t="str">
        <x:v>Prepaid or deposit; air freight for first lot.</x:v>
      </x:c>
      <x:c r="U8" s="71" t="str">
        <x:v>Fast</x:v>
      </x:c>
      <x:c r="V8" s="71" t="str">
        <x:v>B - public contact, verify sales email before shipment</x:v>
      </x:c>
      <x:c r="W8" s="71" t="str">
        <x:v>https://www.vanillabeankings.com/pages/contact-us</x:v>
      </x:c>
      <x:c r="X8" s="82" t="n">
        <x:v>46213</x:v>
      </x:c>
    </x:row>
    <x:row r="9">
      <x:c r="A9" s="57" t="n">
        <x:v>8</x:v>
      </x:c>
      <x:c r="B9" s="50" t="str">
        <x:v>Beanilla</x:v>
      </x:c>
      <x:c r="C9" s="50" t="str">
        <x:v>Vanilla importer / gourmet distributor</x:v>
      </x:c>
      <x:c r="D9" s="50" t="str">
        <x:v>United States</x:v>
      </x:c>
      <x:c r="E9" s="50" t="str">
        <x:v>North America</x:v>
      </x:c>
      <x:c r="F9" s="50" t="str">
        <x:v>Bulk vanilla beans, extracts and retail/wholesale vanilla</x:v>
      </x:c>
      <x:c r="G9" s="50" t="str">
        <x:v>Very High</x:v>
      </x:c>
      <x:c r="H9" s="50" t="str">
        <x:v>A</x:v>
      </x:c>
      <x:c r="I9" s="77" t="n">
        <x:v>150</x:v>
      </x:c>
      <x:c r="J9" s="50" t="str">
        <x:v>Wholesale purchasing / product manager</x:v>
      </x:c>
      <x:c r="K9" s="50" t="str">
        <x:v>Not publicly listed</x:v>
      </x:c>
      <x:c r="L9" s="50" t="str">
        <x:v>Contact form only</x:v>
      </x:c>
      <x:c r="M9" s="50" t="str">
        <x:v>+1 888 261 3384</x:v>
      </x:c>
      <x:c r="N9" s="50" t="str">
        <x:v>https://www.beanilla.com/wholesale-vanilla</x:v>
      </x:c>
      <x:c r="O9" s="50" t="str">
        <x:v>https://www.beanilla.com/</x:v>
      </x:c>
      <x:c r="P9" s="50" t="str">
        <x:v>Submit wholesale/supplier inquiry; follow by phone asking for product sourcing.</x:v>
      </x:c>
      <x:c r="Q9" s="50" t="str">
        <x:v>Large online vanilla seller and wholesaler; can move premium origin-specific inventory.</x:v>
      </x:c>
      <x:c r="R9" s="50" t="str">
        <x:v>Pitch Ecuador as a new origin with limited availability and ready-to-ship wholesale lots.</x:v>
      </x:c>
      <x:c r="S9" s="50" t="str">
        <x:v>25-100 kg first order; potential repeat if retail response is strong.</x:v>
      </x:c>
      <x:c r="T9" s="50" t="str">
        <x:v>Prepaid/deposit for first lot; use air freight for speed and testing.</x:v>
      </x:c>
      <x:c r="U9" s="50" t="str">
        <x:v>Fast-Medium</x:v>
      </x:c>
      <x:c r="V9" s="50" t="str">
        <x:v>A - official wholesale page/phone</x:v>
      </x:c>
      <x:c r="W9" s="50" t="str">
        <x:v>https://www.beanilla.com/wholesale-vanilla</x:v>
      </x:c>
      <x:c r="X9" s="83" t="n">
        <x:v>46213</x:v>
      </x:c>
    </x:row>
    <x:row r="10">
      <x:c r="A10" s="70" t="n">
        <x:v>9</x:v>
      </x:c>
      <x:c r="B10" s="71" t="str">
        <x:v>Madagascar Vanilla Company</x:v>
      </x:c>
      <x:c r="C10" s="71" t="str">
        <x:v>Vanilla wholesaler / distributor</x:v>
      </x:c>
      <x:c r="D10" s="71" t="str">
        <x:v>Madagascar / United States / Japan</x:v>
      </x:c>
      <x:c r="E10" s="71" t="str">
        <x:v>USA; Japan; global wholesale</x:v>
      </x:c>
      <x:c r="F10" s="71" t="str">
        <x:v>Wholesale beans and vanilla products</x:v>
      </x:c>
      <x:c r="G10" s="71" t="str">
        <x:v>High</x:v>
      </x:c>
      <x:c r="H10" s="71" t="str">
        <x:v>A</x:v>
      </x:c>
      <x:c r="I10" s="76" t="n">
        <x:v>150</x:v>
      </x:c>
      <x:c r="J10" s="71" t="str">
        <x:v>Wholesale buyer / distributor relationship</x:v>
      </x:c>
      <x:c r="K10" s="71" t="str">
        <x:v>Not publicly listed</x:v>
      </x:c>
      <x:c r="L10" s="71" t="str">
        <x:v>Contact form only</x:v>
      </x:c>
      <x:c r="M10" s="71" t="str">
        <x:v>+1 484 320 7947; +261 32 80 406 67; +81 80 4322 2139</x:v>
      </x:c>
      <x:c r="N10" s="71" t="str">
        <x:v>https://www.madagascarvanillacompany.com/wholesale/</x:v>
      </x:c>
      <x:c r="O10" s="71" t="str">
        <x:v>https://www.madagascarvanillacompany.com/</x:v>
      </x:c>
      <x:c r="P10" s="71" t="str">
        <x:v>Use wholesale form and phone; position Ecuador as diversification, not replacement.</x:v>
      </x:c>
      <x:c r="Q10" s="71" t="str">
        <x:v>Existing vanilla wholesale infrastructure and global contacts.</x:v>
      </x:c>
      <x:c r="R10" s="71" t="str">
        <x:v>Ask if they want an off-origin premium line or brokered lot for buyers requesting alternatives.</x:v>
      </x:c>
      <x:c r="S10" s="71" t="str">
        <x:v>25-150 kg; potential broker/distributor arrangement.</x:v>
      </x:c>
      <x:c r="T10" s="71" t="str">
        <x:v>Use deposit/LC; be careful not to surrender exclusivity without purchase commitment.</x:v>
      </x:c>
      <x:c r="U10" s="71" t="str">
        <x:v>Fast-Medium</x:v>
      </x:c>
      <x:c r="V10" s="71" t="str">
        <x:v>A - official wholesale route/phones</x:v>
      </x:c>
      <x:c r="W10" s="71" t="str">
        <x:v>https://www.madagascarvanillacompany.com/wholesale/</x:v>
      </x:c>
      <x:c r="X10" s="82" t="n">
        <x:v>46213</x:v>
      </x:c>
    </x:row>
    <x:row r="11">
      <x:c r="A11" s="57" t="n">
        <x:v>10</x:v>
      </x:c>
      <x:c r="B11" s="50" t="str">
        <x:v>Amadeus Vanilla Beans</x:v>
      </x:c>
      <x:c r="C11" s="50" t="str">
        <x:v>Vanilla importer / bulk seller</x:v>
      </x:c>
      <x:c r="D11" s="50" t="str">
        <x:v>United States</x:v>
      </x:c>
      <x:c r="E11" s="50" t="str">
        <x:v>North America; online bulk</x:v>
      </x:c>
      <x:c r="F11" s="50" t="str">
        <x:v>Bulk vanilla beans for distillers, brewers, food manufacturers and chefs</x:v>
      </x:c>
      <x:c r="G11" s="50" t="str">
        <x:v>High</x:v>
      </x:c>
      <x:c r="H11" s="50" t="str">
        <x:v>A</x:v>
      </x:c>
      <x:c r="I11" s="77" t="n">
        <x:v>150</x:v>
      </x:c>
      <x:c r="J11" s="50" t="str">
        <x:v>Bulk orders / sourcing</x:v>
      </x:c>
      <x:c r="K11" s="50" t="str">
        <x:v>Not publicly listed</x:v>
      </x:c>
      <x:c r="L11" s="50" t="str">
        <x:v>Contact form only</x:v>
      </x:c>
      <x:c r="M11" s="50" t="str">
        <x:v>Contact form only</x:v>
      </x:c>
      <x:c r="N11" s="50" t="str">
        <x:v>https://amadeusvanillabeans.com/large-orders/</x:v>
      </x:c>
      <x:c r="O11" s="50" t="str">
        <x:v>https://amadeusvanillabeans.com/</x:v>
      </x:c>
      <x:c r="P11" s="50" t="str">
        <x:v>Submit large-order supplier inquiry and call if a phone is found on order documents.</x:v>
      </x:c>
      <x:c r="Q11" s="50" t="str">
        <x:v>Publishes large-order positioning up to industrial volumes; relevant for quick smaller lots.</x:v>
      </x:c>
      <x:c r="R11" s="50" t="str">
        <x:v>Offer a priced 25-100 kg trial with photos and specs; ask if they buy direct from origin.</x:v>
      </x:c>
      <x:c r="S11" s="50" t="str">
        <x:v>25-100 kg; possibly larger if they have industrial buyers.</x:v>
      </x:c>
      <x:c r="T11" s="50" t="str">
        <x:v>Prepaid/deposit; start with a fast sample and air freight.</x:v>
      </x:c>
      <x:c r="U11" s="50" t="str">
        <x:v>Fast-Medium</x:v>
      </x:c>
      <x:c r="V11" s="50" t="str">
        <x:v>B - official route, no public direct email</x:v>
      </x:c>
      <x:c r="W11" s="50" t="str">
        <x:v>https://amadeusvanillabeans.com/large-orders/</x:v>
      </x:c>
      <x:c r="X11" s="83" t="n">
        <x:v>46213</x:v>
      </x:c>
    </x:row>
    <x:row r="12">
      <x:c r="A12" s="70" t="n">
        <x:v>11</x:v>
      </x:c>
      <x:c r="B12" s="71" t="str">
        <x:v>VanillaGoods</x:v>
      </x:c>
      <x:c r="C12" s="71" t="str">
        <x:v>Vanilla distributor / online wholesaler</x:v>
      </x:c>
      <x:c r="D12" s="71" t="str">
        <x:v>United States</x:v>
      </x:c>
      <x:c r="E12" s="71" t="str">
        <x:v>North America</x:v>
      </x:c>
      <x:c r="F12" s="71" t="str">
        <x:v>Vanilla beans and related wholesale/reseller channels</x:v>
      </x:c>
      <x:c r="G12" s="71" t="str">
        <x:v>High</x:v>
      </x:c>
      <x:c r="H12" s="71" t="str">
        <x:v>A</x:v>
      </x:c>
      <x:c r="I12" s="76" t="n">
        <x:v>100</x:v>
      </x:c>
      <x:c r="J12" s="71" t="str">
        <x:v>Wholesale / reseller sourcing</x:v>
      </x:c>
      <x:c r="K12" s="71" t="str">
        <x:v>Not publicly listed</x:v>
      </x:c>
      <x:c r="L12" s="71" t="str">
        <x:v>help@vanillagoods.com</x:v>
      </x:c>
      <x:c r="M12" s="71" t="str">
        <x:v>+1 888 888 1493</x:v>
      </x:c>
      <x:c r="N12" s="71" t="str">
        <x:v>https://vanillagoods.com/pages/vanillagoods-contact</x:v>
      </x:c>
      <x:c r="O12" s="71" t="str">
        <x:v>https://vanillagoods.com/</x:v>
      </x:c>
      <x:c r="P12" s="71" t="str">
        <x:v>Use form/email and select wholesale/reseller/farmer route if available.</x:v>
      </x:c>
      <x:c r="Q12" s="71" t="str">
        <x:v>Accessible vanilla-specific channel that may test new origin lots quickly.</x:v>
      </x:c>
      <x:c r="R12" s="71" t="str">
        <x:v>Pitch sample kit and small wholesale lot with clear price break.</x:v>
      </x:c>
      <x:c r="S12" s="71" t="str">
        <x:v>10-75 kg first lot; focus on fast cash conversion.</x:v>
      </x:c>
      <x:c r="T12" s="71" t="str">
        <x:v>Prepaid wire/card; air freight.</x:v>
      </x:c>
      <x:c r="U12" s="71" t="str">
        <x:v>Fast</x:v>
      </x:c>
      <x:c r="V12" s="71" t="str">
        <x:v>A - official public contact</x:v>
      </x:c>
      <x:c r="W12" s="71" t="str">
        <x:v>https://vanillagoods.com/pages/vanillagoods-contact</x:v>
      </x:c>
      <x:c r="X12" s="82" t="n">
        <x:v>46213</x:v>
      </x:c>
    </x:row>
    <x:row r="13">
      <x:c r="A13" s="57" t="n">
        <x:v>12</x:v>
      </x:c>
      <x:c r="B13" s="50" t="str">
        <x:v>Native Vanilla</x:v>
      </x:c>
      <x:c r="C13" s="50" t="str">
        <x:v>Vanilla brand / importer / distributor</x:v>
      </x:c>
      <x:c r="D13" s="50" t="str">
        <x:v>United States</x:v>
      </x:c>
      <x:c r="E13" s="50" t="str">
        <x:v>USA; South Africa; Papua New Guinea channels</x:v>
      </x:c>
      <x:c r="F13" s="50" t="str">
        <x:v>Vanilla beans, extracts and consumer/wholesale distribution</x:v>
      </x:c>
      <x:c r="G13" s="50" t="str">
        <x:v>High</x:v>
      </x:c>
      <x:c r="H13" s="50" t="str">
        <x:v>A</x:v>
      </x:c>
      <x:c r="I13" s="77" t="n">
        <x:v>100</x:v>
      </x:c>
      <x:c r="J13" s="50" t="str">
        <x:v>Sourcing / purchasing</x:v>
      </x:c>
      <x:c r="K13" s="50" t="str">
        <x:v>Not publicly listed</x:v>
      </x:c>
      <x:c r="L13" s="50" t="str">
        <x:v>info@nativevanilla.com</x:v>
      </x:c>
      <x:c r="M13" s="50" t="str">
        <x:v>+1 256 826 4552</x:v>
      </x:c>
      <x:c r="N13" s="50" t="str">
        <x:v>https://nativevanilla.com/pages/contact</x:v>
      </x:c>
      <x:c r="O13" s="50" t="str">
        <x:v>https://nativevanilla.com/</x:v>
      </x:c>
      <x:c r="P13" s="50" t="str">
        <x:v>Email sourcing intro and call; ask whether they evaluate new origins.</x:v>
      </x:c>
      <x:c r="Q13" s="50" t="str">
        <x:v>Premium vanilla brand with international supply-chain orientation.</x:v>
      </x:c>
      <x:c r="R13" s="50" t="str">
        <x:v>Offer a small Ecuador-origin lot and highlight consistency, moisture and story.</x:v>
      </x:c>
      <x:c r="S13" s="50" t="str">
        <x:v>10-75 kg first order; grow if they accept SKU expansion.</x:v>
      </x:c>
      <x:c r="T13" s="50" t="str">
        <x:v>Prepaid/deposit; air freight first lot.</x:v>
      </x:c>
      <x:c r="U13" s="50" t="str">
        <x:v>Fast</x:v>
      </x:c>
      <x:c r="V13" s="50" t="str">
        <x:v>A - official public contact</x:v>
      </x:c>
      <x:c r="W13" s="50" t="str">
        <x:v>https://nativevanilla.com/pages/contact</x:v>
      </x:c>
      <x:c r="X13" s="83" t="n">
        <x:v>46213</x:v>
      </x:c>
    </x:row>
    <x:row r="14">
      <x:c r="A14" s="70" t="n">
        <x:v>13</x:v>
      </x:c>
      <x:c r="B14" s="71" t="str">
        <x:v>Singing Dog Vanilla</x:v>
      </x:c>
      <x:c r="C14" s="71" t="str">
        <x:v>Organic vanilla importer / brand / distributor</x:v>
      </x:c>
      <x:c r="D14" s="71" t="str">
        <x:v>United States</x:v>
      </x:c>
      <x:c r="E14" s="71" t="str">
        <x:v>North America</x:v>
      </x:c>
      <x:c r="F14" s="71" t="str">
        <x:v>Organic vanilla extracts, beans, paste and powder</x:v>
      </x:c>
      <x:c r="G14" s="71" t="str">
        <x:v>High</x:v>
      </x:c>
      <x:c r="H14" s="71" t="str">
        <x:v>A</x:v>
      </x:c>
      <x:c r="I14" s="76" t="n">
        <x:v>150</x:v>
      </x:c>
      <x:c r="J14" s="71" t="str">
        <x:v>Sourcing / purchasing</x:v>
      </x:c>
      <x:c r="K14" s="71" t="str">
        <x:v>Not publicly listed</x:v>
      </x:c>
      <x:c r="L14" s="71" t="str">
        <x:v>info@singingdogvanilla.com</x:v>
      </x:c>
      <x:c r="M14" s="71" t="str">
        <x:v>+1 888 343 0002</x:v>
      </x:c>
      <x:c r="N14" s="71" t="str">
        <x:v>https://www.singingdogvanilla.com/pages/contact-us</x:v>
      </x:c>
      <x:c r="O14" s="71" t="str">
        <x:v>https://www.singingdogvanilla.com/</x:v>
      </x:c>
      <x:c r="P14" s="71" t="str">
        <x:v>Email and ask for sourcing/procurement; prioritize if your crop has organic documentation.</x:v>
      </x:c>
      <x:c r="Q14" s="71" t="str">
        <x:v>Vanilla-specific brand with organic/natural positioning.</x:v>
      </x:c>
      <x:c r="R14" s="71" t="str">
        <x:v>Lead with certifications, traceability and farmer story. Offer sample and COA.</x:v>
      </x:c>
      <x:c r="S14" s="71" t="str">
        <x:v>25-100 kg if certified/traceable; smaller if only conventional.</x:v>
      </x:c>
      <x:c r="T14" s="71" t="str">
        <x:v>Prepaid/deposit; organic paperwork must be clean if marketed organic.</x:v>
      </x:c>
      <x:c r="U14" s="71" t="str">
        <x:v>Fast-Medium</x:v>
      </x:c>
      <x:c r="V14" s="71" t="str">
        <x:v>A - public company contact; verify current number</x:v>
      </x:c>
      <x:c r="W14" s="71" t="str">
        <x:v>https://www.singingdogvanilla.com/pages/contact-us</x:v>
      </x:c>
      <x:c r="X14" s="82" t="n">
        <x:v>46213</x:v>
      </x:c>
    </x:row>
    <x:row r="15">
      <x:c r="A15" s="57" t="n">
        <x:v>14</x:v>
      </x:c>
      <x:c r="B15" s="50" t="str">
        <x:v>Heilala Vanilla</x:v>
      </x:c>
      <x:c r="C15" s="50" t="str">
        <x:v>Premium vanilla brand / distributor</x:v>
      </x:c>
      <x:c r="D15" s="50" t="str">
        <x:v>New Zealand</x:v>
      </x:c>
      <x:c r="E15" s="50" t="str">
        <x:v>New Zealand; Australia; USA; global online</x:v>
      </x:c>
      <x:c r="F15" s="50" t="str">
        <x:v>Premium vanilla beans, extract and paste</x:v>
      </x:c>
      <x:c r="G15" s="50" t="str">
        <x:v>High</x:v>
      </x:c>
      <x:c r="H15" s="50" t="str">
        <x:v>A</x:v>
      </x:c>
      <x:c r="I15" s="77" t="n">
        <x:v>100</x:v>
      </x:c>
      <x:c r="J15" s="50" t="str">
        <x:v>Supply chain / sourcing</x:v>
      </x:c>
      <x:c r="K15" s="50" t="str">
        <x:v>Not publicly listed</x:v>
      </x:c>
      <x:c r="L15" s="50" t="str">
        <x:v>hello@heilalavanilla.com</x:v>
      </x:c>
      <x:c r="M15" s="50" t="str">
        <x:v>+64 7 574 3070</x:v>
      </x:c>
      <x:c r="N15" s="50" t="str">
        <x:v>https://www.heilalavanilla.com/pages/contact-us</x:v>
      </x:c>
      <x:c r="O15" s="50" t="str">
        <x:v>https://www.heilalavanilla.com/</x:v>
      </x:c>
      <x:c r="P15" s="50" t="str">
        <x:v>Email supply-chain partnership inquiry; position as origin extension, not commodity replacement.</x:v>
      </x:c>
      <x:c r="Q15" s="50" t="str">
        <x:v>Premium vanilla brand with strong story-driven positioning.</x:v>
      </x:c>
      <x:c r="R15" s="50" t="str">
        <x:v>Pitch Ecuador-origin limited edition or backup supply program.</x:v>
      </x:c>
      <x:c r="S15" s="50" t="str">
        <x:v>10-50 kg trial; possible premium SKU collaboration.</x:v>
      </x:c>
      <x:c r="T15" s="50" t="str">
        <x:v>Prepaid/deposit; sample first. Protect pricing if used as branded origin.</x:v>
      </x:c>
      <x:c r="U15" s="50" t="str">
        <x:v>Medium</x:v>
      </x:c>
      <x:c r="V15" s="50" t="str">
        <x:v>A - public company contact; verify current number</x:v>
      </x:c>
      <x:c r="W15" s="50" t="str">
        <x:v>https://www.heilalavanilla.com/pages/contact-us</x:v>
      </x:c>
      <x:c r="X15" s="83" t="n">
        <x:v>46213</x:v>
      </x:c>
    </x:row>
    <x:row r="16">
      <x:c r="A16" s="70" t="n">
        <x:v>15</x:v>
      </x:c>
      <x:c r="B16" s="71" t="str">
        <x:v>Vanilla Food Company</x:v>
      </x:c>
      <x:c r="C16" s="71" t="str">
        <x:v>Specialty baking/vanilla distributor</x:v>
      </x:c>
      <x:c r="D16" s="71" t="str">
        <x:v>Canada</x:v>
      </x:c>
      <x:c r="E16" s="71" t="str">
        <x:v>Canada; North America online</x:v>
      </x:c>
      <x:c r="F16" s="71" t="str">
        <x:v>Vanilla, baking ingredients and specialty food distribution</x:v>
      </x:c>
      <x:c r="G16" s="71" t="str">
        <x:v>High</x:v>
      </x:c>
      <x:c r="H16" s="71" t="str">
        <x:v>A</x:v>
      </x:c>
      <x:c r="I16" s="76" t="n">
        <x:v>75</x:v>
      </x:c>
      <x:c r="J16" s="71" t="str">
        <x:v>Purchasing / product manager</x:v>
      </x:c>
      <x:c r="K16" s="71" t="str">
        <x:v>Not publicly listed</x:v>
      </x:c>
      <x:c r="L16" s="71" t="str">
        <x:v>Contact form only</x:v>
      </x:c>
      <x:c r="M16" s="71" t="str">
        <x:v>+1 877 207 3828; +1 905 604 4202</x:v>
      </x:c>
      <x:c r="N16" s="71" t="str">
        <x:v>https://vanillafoodcompany.ca/contact-us/</x:v>
      </x:c>
      <x:c r="O16" s="71" t="str">
        <x:v>https://vanillafoodcompany.ca/</x:v>
      </x:c>
      <x:c r="P16" s="71" t="str">
        <x:v>Submit supplier/product inquiry and follow by phone.</x:v>
      </x:c>
      <x:c r="Q16" s="71" t="str">
        <x:v>Specialty vanilla and baking ingredient channel with Canadian reach.</x:v>
      </x:c>
      <x:c r="R16" s="71" t="str">
        <x:v>Pitch a limited Ecuador-origin premium lot and wholesale packaging options.</x:v>
      </x:c>
      <x:c r="S16" s="71" t="str">
        <x:v>10-50 kg first order; high-margin specialty channel.</x:v>
      </x:c>
      <x:c r="T16" s="71" t="str">
        <x:v>Prepaid/deposit; air freight or courier for smaller lots.</x:v>
      </x:c>
      <x:c r="U16" s="71" t="str">
        <x:v>Fast-Medium</x:v>
      </x:c>
      <x:c r="V16" s="71" t="str">
        <x:v>A - official contact page/phones</x:v>
      </x:c>
      <x:c r="W16" s="71" t="str">
        <x:v>https://vanillafoodcompany.ca/contact-us/</x:v>
      </x:c>
      <x:c r="X16" s="82" t="n">
        <x:v>46213</x:v>
      </x:c>
    </x:row>
    <x:row r="17">
      <x:c r="A17" s="57" t="n">
        <x:v>16</x:v>
      </x:c>
      <x:c r="B17" s="50" t="str">
        <x:v>MUST Vanilla Gourmet</x:v>
      </x:c>
      <x:c r="C17" s="50" t="str">
        <x:v>Vanilla wholesaler / industrial supplier</x:v>
      </x:c>
      <x:c r="D17" s="50" t="str">
        <x:v>France / Madagascar-linked</x:v>
      </x:c>
      <x:c r="E17" s="50" t="str">
        <x:v>Europe; industrial and wholesale</x:v>
      </x:c>
      <x:c r="F17" s="50" t="str">
        <x:v>Bulk vanilla beans and gourmet/industrial vanilla supply</x:v>
      </x:c>
      <x:c r="G17" s="50" t="str">
        <x:v>High</x:v>
      </x:c>
      <x:c r="H17" s="50" t="str">
        <x:v>A</x:v>
      </x:c>
      <x:c r="I17" s="77" t="n">
        <x:v>150</x:v>
      </x:c>
      <x:c r="J17" s="50" t="str">
        <x:v>Bulk vanilla purchasing / owner</x:v>
      </x:c>
      <x:c r="K17" s="50" t="str">
        <x:v>Not publicly listed</x:v>
      </x:c>
      <x:c r="L17" s="50" t="str">
        <x:v>Contact form only</x:v>
      </x:c>
      <x:c r="M17" s="50" t="str">
        <x:v>Contact form only</x:v>
      </x:c>
      <x:c r="N17" s="50" t="str">
        <x:v>https://www.mustvanillagourmet.com/bulk-vanilla-extract-bulk-vanilla-beans-wholesale-vanilla</x:v>
      </x:c>
      <x:c r="O17" s="50" t="str">
        <x:v>https://www.mustvanillagourmet.com/</x:v>
      </x:c>
      <x:c r="P17" s="50" t="str">
        <x:v>Use bulk vanilla page/contact form; ask for sourcing or wholesale purchasing.</x:v>
      </x:c>
      <x:c r="Q17" s="50" t="str">
        <x:v>Directly serves wholesale and industrial vanilla buyers.</x:v>
      </x:c>
      <x:c r="R17" s="50" t="str">
        <x:v>Offer Ecuador origin as diversification; include technical specs and photos.</x:v>
      </x:c>
      <x:c r="S17" s="50" t="str">
        <x:v>25-100 kg trial; 250 kg possible if they have industrial customers.</x:v>
      </x:c>
      <x:c r="T17" s="50" t="str">
        <x:v>Use LC/deposit; avoid consignment without contract.</x:v>
      </x:c>
      <x:c r="U17" s="50" t="str">
        <x:v>Medium</x:v>
      </x:c>
      <x:c r="V17" s="50" t="str">
        <x:v>B - official bulk page, limited public contact</x:v>
      </x:c>
      <x:c r="W17" s="50" t="str">
        <x:v>https://www.mustvanillagourmet.com/bulk-vanilla-extract-bulk-vanilla-beans-wholesale-vanilla</x:v>
      </x:c>
      <x:c r="X17" s="83" t="n">
        <x:v>46213</x:v>
      </x:c>
    </x:row>
    <x:row r="18">
      <x:c r="A18" s="70" t="n">
        <x:v>17</x:v>
      </x:c>
      <x:c r="B18" s="71" t="str">
        <x:v>Vanille B.V.</x:v>
      </x:c>
      <x:c r="C18" s="71" t="str">
        <x:v>Vanilla importer / specialist distributor</x:v>
      </x:c>
      <x:c r="D18" s="71" t="str">
        <x:v>Netherlands</x:v>
      </x:c>
      <x:c r="E18" s="71" t="str">
        <x:v>Europe; global gourmet/industrial</x:v>
      </x:c>
      <x:c r="F18" s="71" t="str">
        <x:v>Gourmet and industrial vanilla products</x:v>
      </x:c>
      <x:c r="G18" s="71" t="str">
        <x:v>High</x:v>
      </x:c>
      <x:c r="H18" s="71" t="str">
        <x:v>A</x:v>
      </x:c>
      <x:c r="I18" s="76" t="n">
        <x:v>150</x:v>
      </x:c>
      <x:c r="J18" s="71" t="str">
        <x:v>Purchasing / managing director</x:v>
      </x:c>
      <x:c r="K18" s="71" t="str">
        <x:v>Not publicly listed</x:v>
      </x:c>
      <x:c r="L18" s="71" t="str">
        <x:v>info@vanille.nl</x:v>
      </x:c>
      <x:c r="M18" s="71" t="str">
        <x:v>+31 20 261 9190</x:v>
      </x:c>
      <x:c r="N18" s="71" t="str">
        <x:v>https://www.vanille.nl/contact/</x:v>
      </x:c>
      <x:c r="O18" s="71" t="str">
        <x:v>https://www.vanille.nl/</x:v>
      </x:c>
      <x:c r="P18" s="71" t="str">
        <x:v>Email purchasing inquiry and request direct buyer for whole beans.</x:v>
      </x:c>
      <x:c r="Q18" s="71" t="str">
        <x:v>European vanilla specialist; smaller than global distributors and potentially responsive.</x:v>
      </x:c>
      <x:c r="R18" s="71" t="str">
        <x:v>Send EU-ready sample offer with CIF Rotterdam pricing.</x:v>
      </x:c>
      <x:c r="S18" s="71" t="str">
        <x:v>25-100 kg trial; potential recurring smaller lots.</x:v>
      </x:c>
      <x:c r="T18" s="71" t="str">
        <x:v>CIF Rotterdam; first order with deposit or LC.</x:v>
      </x:c>
      <x:c r="U18" s="71" t="str">
        <x:v>Fast-Medium</x:v>
      </x:c>
      <x:c r="V18" s="71" t="str">
        <x:v>A - public contact, verify before shipping</x:v>
      </x:c>
      <x:c r="W18" s="71" t="str">
        <x:v>https://www.vanille.nl/contact/</x:v>
      </x:c>
      <x:c r="X18" s="82" t="n">
        <x:v>46213</x:v>
      </x:c>
    </x:row>
    <x:row r="19">
      <x:c r="A19" s="57" t="n">
        <x:v>18</x:v>
      </x:c>
      <x:c r="B19" s="50" t="str">
        <x:v>Thiercelin 1809</x:v>
      </x:c>
      <x:c r="C19" s="50" t="str">
        <x:v>Premium spice importer / distributor</x:v>
      </x:c>
      <x:c r="D19" s="50" t="str">
        <x:v>France / Spain</x:v>
      </x:c>
      <x:c r="E19" s="50" t="str">
        <x:v>Europe; export and foodservice</x:v>
      </x:c>
      <x:c r="F19" s="50" t="str">
        <x:v>Premium spices, vanilla beans and origin-sourced ingredients</x:v>
      </x:c>
      <x:c r="G19" s="50" t="str">
        <x:v>High</x:v>
      </x:c>
      <x:c r="H19" s="50" t="str">
        <x:v>A</x:v>
      </x:c>
      <x:c r="I19" s="77" t="n">
        <x:v>100</x:v>
      </x:c>
      <x:c r="J19" s="50" t="str">
        <x:v>Purchasing / import director</x:v>
      </x:c>
      <x:c r="K19" s="50" t="str">
        <x:v>Not publicly listed</x:v>
      </x:c>
      <x:c r="L19" s="50" t="str">
        <x:v>order@thiercelin.com; contact@thiercelin.com</x:v>
      </x:c>
      <x:c r="M19" s="50" t="str">
        <x:v>+33 (0)9 74 48 98 98</x:v>
      </x:c>
      <x:c r="N19" s="50" t="str">
        <x:v>https://www.thiercelin1809.com/en_GB/contact-us</x:v>
      </x:c>
      <x:c r="O19" s="50" t="str">
        <x:v>https://www.thiercelin1809.com/</x:v>
      </x:c>
      <x:c r="P19" s="50" t="str">
        <x:v>Use order/contact email and ask for import/purchasing for vanilla beans.</x:v>
      </x:c>
      <x:c r="Q19" s="50" t="str">
        <x:v>Premium spice house with history in origin importing and international trade.</x:v>
      </x:c>
      <x:c r="R19" s="50" t="str">
        <x:v>Pitch Ecuador vanilla for premium European foodservice/retail distribution.</x:v>
      </x:c>
      <x:c r="S19" s="50" t="str">
        <x:v>10-75 kg first lot; focus on premium grade and story.</x:v>
      </x:c>
      <x:c r="T19" s="50" t="str">
        <x:v>CIF Europe or DAP after paid proforma; sample by DHL.</x:v>
      </x:c>
      <x:c r="U19" s="50" t="str">
        <x:v>Fast-Medium</x:v>
      </x:c>
      <x:c r="V19" s="50" t="str">
        <x:v>A - official contact page plus member directory</x:v>
      </x:c>
      <x:c r="W19" s="50" t="str">
        <x:v>https://www.thiercelin1809.com/en_GB/contact-us</x:v>
      </x:c>
      <x:c r="X19" s="83" t="n">
        <x:v>46213</x:v>
      </x:c>
    </x:row>
    <x:row r="20">
      <x:c r="A20" s="70" t="n">
        <x:v>19</x:v>
      </x:c>
      <x:c r="B20" s="71" t="str">
        <x:v>Global Resources Direct</x:v>
      </x:c>
      <x:c r="C20" s="71" t="str">
        <x:v>Food ingredient importer / distributor</x:v>
      </x:c>
      <x:c r="D20" s="71" t="str">
        <x:v>United States</x:v>
      </x:c>
      <x:c r="E20" s="71" t="str">
        <x:v>North America; global sourcing</x:v>
      </x:c>
      <x:c r="F20" s="71" t="str">
        <x:v>Broad food ingredients; natural products and bulk supply</x:v>
      </x:c>
      <x:c r="G20" s="71" t="str">
        <x:v>High</x:v>
      </x:c>
      <x:c r="H20" s="71" t="str">
        <x:v>A</x:v>
      </x:c>
      <x:c r="I20" s="76" t="n">
        <x:v>250</x:v>
      </x:c>
      <x:c r="J20" s="71" t="str">
        <x:v>Ingredient sourcing / procurement</x:v>
      </x:c>
      <x:c r="K20" s="71" t="str">
        <x:v>Not publicly listed</x:v>
      </x:c>
      <x:c r="L20" s="71" t="str">
        <x:v>Contact form only</x:v>
      </x:c>
      <x:c r="M20" s="71" t="str">
        <x:v>+1 773 636 5974</x:v>
      </x:c>
      <x:c r="N20" s="71" t="str">
        <x:v>https://www.globalresourcesdirect.com/</x:v>
      </x:c>
      <x:c r="O20" s="71" t="str">
        <x:v>https://www.globalresourcesdirect.com/</x:v>
      </x:c>
      <x:c r="P20" s="71" t="str">
        <x:v>Use supplier/contact form and ask for purchasing manager for vanilla/natural ingredients.</x:v>
      </x:c>
      <x:c r="Q20" s="71" t="str">
        <x:v>Broad ingredient sourcing model may allow fast placement into manufacturers.</x:v>
      </x:c>
      <x:c r="R20" s="71" t="str">
        <x:v>Pitch bulk Ecuador vanilla with a distributor margin and quick sample pack.</x:v>
      </x:c>
      <x:c r="S20" s="71" t="str">
        <x:v>50-250 kg; possible brokered placement with manufacturers.</x:v>
      </x:c>
      <x:c r="T20" s="71" t="str">
        <x:v>FOB/CIF; require deposit/LC unless they are buying cash against documents.</x:v>
      </x:c>
      <x:c r="U20" s="71" t="str">
        <x:v>Medium</x:v>
      </x:c>
      <x:c r="V20" s="71" t="str">
        <x:v>B - public route/phone, verify contact details</x:v>
      </x:c>
      <x:c r="W20" s="71" t="str">
        <x:v>https://www.globalresourcesdirect.com/</x:v>
      </x:c>
      <x:c r="X20" s="82" t="n">
        <x:v>46213</x:v>
      </x:c>
    </x:row>
    <x:row r="21">
      <x:c r="A21" s="57" t="n">
        <x:v>20</x:v>
      </x:c>
      <x:c r="B21" s="50" t="str">
        <x:v>Cambridge Commodities</x:v>
      </x:c>
      <x:c r="C21" s="50" t="str">
        <x:v>Ingredient importer / distributor</x:v>
      </x:c>
      <x:c r="D21" s="50" t="str">
        <x:v>United Kingdom / United States</x:v>
      </x:c>
      <x:c r="E21" s="50" t="str">
        <x:v>UK; Europe; USA; global</x:v>
      </x:c>
      <x:c r="F21" s="50" t="str">
        <x:v>Natural ingredients, powders and whole-bean vanilla products</x:v>
      </x:c>
      <x:c r="G21" s="50" t="str">
        <x:v>High</x:v>
      </x:c>
      <x:c r="H21" s="50" t="str">
        <x:v>A</x:v>
      </x:c>
      <x:c r="I21" s="77" t="n">
        <x:v>250</x:v>
      </x:c>
      <x:c r="J21" s="50" t="str">
        <x:v>Supplier onboarding / ingredients buyer</x:v>
      </x:c>
      <x:c r="K21" s="50" t="str">
        <x:v>Not publicly listed</x:v>
      </x:c>
      <x:c r="L21" s="50" t="str">
        <x:v>enquiries@cambridgecommodities.com</x:v>
      </x:c>
      <x:c r="M21" s="50" t="str">
        <x:v>+1 530 273 3663</x:v>
      </x:c>
      <x:c r="N21" s="50" t="str">
        <x:v>https://us.cambridgecommodities.com/become-a-supplier.htm</x:v>
      </x:c>
      <x:c r="O21" s="50" t="str">
        <x:v>https://www.cambridgecommodities.com/</x:v>
      </x:c>
      <x:c r="P21" s="50" t="str">
        <x:v>Use become-a-supplier page and direct enquiries email; ask for vanilla category buyer.</x:v>
      </x:c>
      <x:c r="Q21" s="50" t="str">
        <x:v>Large natural-ingredient distributor with supplier onboarding infrastructure.</x:v>
      </x:c>
      <x:c r="R21" s="50" t="str">
        <x:v>Submit technical packet and ask for evaluation against vanilla bean/powder portfolio.</x:v>
      </x:c>
      <x:c r="S21" s="50" t="str">
        <x:v>50-250 kg; may need documentation-heavy onboarding.</x:v>
      </x:c>
      <x:c r="T21" s="50" t="str">
        <x:v>CIF UK/USA; first order by LC or insured credit after vendor approval.</x:v>
      </x:c>
      <x:c r="U21" s="50" t="str">
        <x:v>Medium</x:v>
      </x:c>
      <x:c r="V21" s="50" t="str">
        <x:v>B - public supplier/contact routes</x:v>
      </x:c>
      <x:c r="W21" s="50" t="str">
        <x:v>https://us.cambridgecommodities.com/become-a-supplier.htm</x:v>
      </x:c>
      <x:c r="X21" s="83" t="n">
        <x:v>46213</x:v>
      </x:c>
    </x:row>
    <x:row r="22">
      <x:c r="A22" s="70" t="n">
        <x:v>21</x:v>
      </x:c>
      <x:c r="B22" s="71" t="str">
        <x:v>Tradin Organic</x:v>
      </x:c>
      <x:c r="C22" s="71" t="str">
        <x:v>Organic ingredient importer / distributor</x:v>
      </x:c>
      <x:c r="D22" s="71" t="str">
        <x:v>Netherlands / United States</x:v>
      </x:c>
      <x:c r="E22" s="71" t="str">
        <x:v>Europe; North America; global organic supply</x:v>
      </x:c>
      <x:c r="F22" s="71" t="str">
        <x:v>Organic vanilla and bulk organic food ingredients</x:v>
      </x:c>
      <x:c r="G22" s="71" t="str">
        <x:v>Very High</x:v>
      </x:c>
      <x:c r="H22" s="71" t="str">
        <x:v>A</x:v>
      </x:c>
      <x:c r="I22" s="76" t="n">
        <x:v>500</x:v>
      </x:c>
      <x:c r="J22" s="71" t="str">
        <x:v>Organic vanilla category buyer / sourcing</x:v>
      </x:c>
      <x:c r="K22" s="71" t="str">
        <x:v>Not publicly listed</x:v>
      </x:c>
      <x:c r="L22" s="71" t="str">
        <x:v>info@tradinorganic.com; usa.info@tradinorganic.com</x:v>
      </x:c>
      <x:c r="M22" s="71" t="str">
        <x:v>+31 20 407 4499; +1 831 685 6565</x:v>
      </x:c>
      <x:c r="N22" s="71" t="str">
        <x:v>https://www.tradinorganic.com/contact-us</x:v>
      </x:c>
      <x:c r="O22" s="71" t="str">
        <x:v>https://www.tradinorganic.com/</x:v>
      </x:c>
      <x:c r="P22" s="71" t="str">
        <x:v>Contact Netherlands and USA offices; ask for organic vanilla buyer.</x:v>
      </x:c>
      <x:c r="Q22" s="71" t="str">
        <x:v>Major organic ingredient trader/distributor with specific vanilla relevance.</x:v>
      </x:c>
      <x:c r="R22" s="71" t="str">
        <x:v>If organic certified, prioritize hard. If conventional, ask whether they handle transitional or non-organic special lots.</x:v>
      </x:c>
      <x:c r="S22" s="71" t="str">
        <x:v>100-500 kg if organic; 25-100 kg if conventional trial.</x:v>
      </x:c>
      <x:c r="T22" s="71" t="str">
        <x:v>CIF Rotterdam/US port; LC or deposit; organic chain-of-custody must be clean.</x:v>
      </x:c>
      <x:c r="U22" s="71" t="str">
        <x:v>Medium</x:v>
      </x:c>
      <x:c r="V22" s="71" t="str">
        <x:v>A - official public contacts</x:v>
      </x:c>
      <x:c r="W22" s="71" t="str">
        <x:v>https://www.tradinorganic.com/contact-us</x:v>
      </x:c>
      <x:c r="X22" s="82" t="n">
        <x:v>46213</x:v>
      </x:c>
    </x:row>
    <x:row r="23">
      <x:c r="A23" s="57" t="n">
        <x:v>22</x:v>
      </x:c>
      <x:c r="B23" s="50" t="str">
        <x:v>Univar Solutions Foodology</x:v>
      </x:c>
      <x:c r="C23" s="50" t="str">
        <x:v>Global ingredient distributor</x:v>
      </x:c>
      <x:c r="D23" s="50" t="str">
        <x:v>United States</x:v>
      </x:c>
      <x:c r="E23" s="50" t="str">
        <x:v>North America; Europe; LATAM; global</x:v>
      </x:c>
      <x:c r="F23" s="50" t="str">
        <x:v>Food ingredients distribution and supplier partnerships</x:v>
      </x:c>
      <x:c r="G23" s="50" t="str">
        <x:v>High</x:v>
      </x:c>
      <x:c r="H23" s="50" t="str">
        <x:v>B</x:v>
      </x:c>
      <x:c r="I23" s="77" t="n">
        <x:v>1000</x:v>
      </x:c>
      <x:c r="J23" s="50" t="str">
        <x:v>Food ingredients supplier manager / category buyer</x:v>
      </x:c>
      <x:c r="K23" s="50" t="str">
        <x:v>Not publicly listed</x:v>
      </x:c>
      <x:c r="L23" s="50" t="str">
        <x:v>Contact form only</x:v>
      </x:c>
      <x:c r="M23" s="50" t="str">
        <x:v>Contact form only</x:v>
      </x:c>
      <x:c r="N23" s="50" t="str">
        <x:v>https://www.univarsolutions.com/industries/food-ingredients</x:v>
      </x:c>
      <x:c r="O23" s="50" t="str">
        <x:v>https://www.univarsolutions.com/</x:v>
      </x:c>
      <x:c r="P23" s="50" t="str">
        <x:v>Use supplier/contact portal; ask for Foodology natural ingredients or flavors category.</x:v>
      </x:c>
      <x:c r="Q23" s="50" t="str">
        <x:v>Scale is huge, but onboarding is slower; a deal could move large volume if accepted.</x:v>
      </x:c>
      <x:c r="R23" s="50" t="str">
        <x:v>Position as Ecuador-origin vanilla supply partnership, not a one-off cold sale.</x:v>
      </x:c>
      <x:c r="S23" s="50" t="str">
        <x:v>250-1,000 kg annual allocation; expect formal qualification.</x:v>
      </x:c>
      <x:c r="T23" s="50" t="str">
        <x:v>Do not ship without purchase order/LC. Large distributor terms may be slow.</x:v>
      </x:c>
      <x:c r="U23" s="50" t="str">
        <x:v>Slow</x:v>
      </x:c>
      <x:c r="V23" s="50" t="str">
        <x:v>B - official site, commercial route only</x:v>
      </x:c>
      <x:c r="W23" s="50" t="str">
        <x:v>https://www.univarsolutions.com/industries/food-ingredients</x:v>
      </x:c>
      <x:c r="X23" s="83" t="n">
        <x:v>46213</x:v>
      </x:c>
    </x:row>
    <x:row r="24">
      <x:c r="A24" s="70" t="n">
        <x:v>23</x:v>
      </x:c>
      <x:c r="B24" s="71" t="str">
        <x:v>Brenntag Food &amp; Nutrition</x:v>
      </x:c>
      <x:c r="C24" s="71" t="str">
        <x:v>Global ingredient distributor</x:v>
      </x:c>
      <x:c r="D24" s="71" t="str">
        <x:v>Germany / United States</x:v>
      </x:c>
      <x:c r="E24" s="71" t="str">
        <x:v>Europe; North America; LATAM; global</x:v>
      </x:c>
      <x:c r="F24" s="71" t="str">
        <x:v>Food and nutrition ingredient distribution; beverage, bakery, confectionery channels</x:v>
      </x:c>
      <x:c r="G24" s="71" t="str">
        <x:v>High</x:v>
      </x:c>
      <x:c r="H24" s="71" t="str">
        <x:v>B</x:v>
      </x:c>
      <x:c r="I24" s="76" t="n">
        <x:v>1000</x:v>
      </x:c>
      <x:c r="J24" s="71" t="str">
        <x:v>Food &amp; Nutrition category manager / supplier manager</x:v>
      </x:c>
      <x:c r="K24" s="71" t="str">
        <x:v>Not publicly listed</x:v>
      </x:c>
      <x:c r="L24" s="71" t="str">
        <x:v>Contact form only</x:v>
      </x:c>
      <x:c r="M24" s="71" t="str">
        <x:v>Regional contact form</x:v>
      </x:c>
      <x:c r="N24" s="71" t="str">
        <x:v>https://www.brenntag.com/en-us/contact.html</x:v>
      </x:c>
      <x:c r="O24" s="71" t="str">
        <x:v>https://www.brenntag.com/en-us/industries/food-and-nutrition/</x:v>
      </x:c>
      <x:c r="P24" s="71" t="str">
        <x:v>Use Food &amp; Nutrition contact route; request buyer for natural flavors/vanilla raw materials.</x:v>
      </x:c>
      <x:c r="Q24" s="71" t="str">
        <x:v>One of the largest ingredient distributors; can reach manufacturers quickly if onboarded.</x:v>
      </x:c>
      <x:c r="R24" s="71" t="str">
        <x:v>Send professional supplier deck and ask whether Ecuador vanilla fits their principal portfolio.</x:v>
      </x:c>
      <x:c r="S24" s="71" t="str">
        <x:v>250-1,000 kg allocation; may prefer exclusive distribution terms.</x:v>
      </x:c>
      <x:c r="T24" s="71" t="str">
        <x:v>LC/insured terms only; negotiate non-exclusive territory at first.</x:v>
      </x:c>
      <x:c r="U24" s="71" t="str">
        <x:v>Slow</x:v>
      </x:c>
      <x:c r="V24" s="71" t="str">
        <x:v>B - official contact route</x:v>
      </x:c>
      <x:c r="W24" s="71" t="str">
        <x:v>https://www.brenntag.com/en-us/contact.html</x:v>
      </x:c>
      <x:c r="X24" s="82" t="n">
        <x:v>46213</x:v>
      </x:c>
    </x:row>
    <x:row r="25">
      <x:c r="A25" s="57" t="n">
        <x:v>24</x:v>
      </x:c>
      <x:c r="B25" s="50" t="str">
        <x:v>Barentz</x:v>
      </x:c>
      <x:c r="C25" s="50" t="str">
        <x:v>Global specialty ingredient distributor</x:v>
      </x:c>
      <x:c r="D25" s="50" t="str">
        <x:v>Netherlands / United States</x:v>
      </x:c>
      <x:c r="E25" s="50" t="str">
        <x:v>EMEA; North America; South America; APAC</x:v>
      </x:c>
      <x:c r="F25" s="50" t="str">
        <x:v>Human nutrition specialty ingredients distribution</x:v>
      </x:c>
      <x:c r="G25" s="50" t="str">
        <x:v>High</x:v>
      </x:c>
      <x:c r="H25" s="50" t="str">
        <x:v>B</x:v>
      </x:c>
      <x:c r="I25" s="77" t="n">
        <x:v>1000</x:v>
      </x:c>
      <x:c r="J25" s="50" t="str">
        <x:v>Human Nutrition sourcing / supplier manager</x:v>
      </x:c>
      <x:c r="K25" s="50" t="str">
        <x:v>Not publicly listed</x:v>
      </x:c>
      <x:c r="L25" s="50" t="str">
        <x:v>HN@barentz.com; info.north-america@barentz.com</x:v>
      </x:c>
      <x:c r="M25" s="50" t="str">
        <x:v>+31 (0)235 673 456; +1 877 627 6661</x:v>
      </x:c>
      <x:c r="N25" s="50" t="str">
        <x:v>https://www.barentz.com/contact/</x:v>
      </x:c>
      <x:c r="O25" s="50" t="str">
        <x:v>https://www.barentz.com/human-nutrition/</x:v>
      </x:c>
      <x:c r="P25" s="50" t="str">
        <x:v>Email Human Nutrition and North America/South America regional contacts; ask for natural flavor ingredient sourcing.</x:v>
      </x:c>
      <x:c r="Q25" s="50" t="str">
        <x:v>Global specialty ingredient distributor with food/human nutrition focus and regional offices.</x:v>
      </x:c>
      <x:c r="R25" s="50" t="str">
        <x:v>Pitch as a new origin supply partner; include documents and readiness for vendor qualification.</x:v>
      </x:c>
      <x:c r="S25" s="50" t="str">
        <x:v>250-1,000 kg annual allocation; initial sample and qualification lot.</x:v>
      </x:c>
      <x:c r="T25" s="50" t="str">
        <x:v>LC/deposit. Avoid exclusivity until purchase order is issued.</x:v>
      </x:c>
      <x:c r="U25" s="50" t="str">
        <x:v>Slow</x:v>
      </x:c>
      <x:c r="V25" s="50" t="str">
        <x:v>A - official emails/phones</x:v>
      </x:c>
      <x:c r="W25" s="50" t="str">
        <x:v>https://www.barentz.com/contact/</x:v>
      </x:c>
      <x:c r="X25" s="83" t="n">
        <x:v>46213</x:v>
      </x:c>
    </x:row>
    <x:row r="26">
      <x:c r="A26" s="70" t="n">
        <x:v>25</x:v>
      </x:c>
      <x:c r="B26" s="71" t="str">
        <x:v>Azelis</x:v>
      </x:c>
      <x:c r="C26" s="71" t="str">
        <x:v>Global specialty ingredient distributor</x:v>
      </x:c>
      <x:c r="D26" s="71" t="str">
        <x:v>Belgium / global</x:v>
      </x:c>
      <x:c r="E26" s="71" t="str">
        <x:v>Europe; Americas; APAC</x:v>
      </x:c>
      <x:c r="F26" s="71" t="str">
        <x:v>Food and nutrition ingredients distribution</x:v>
      </x:c>
      <x:c r="G26" s="71" t="str">
        <x:v>High</x:v>
      </x:c>
      <x:c r="H26" s="71" t="str">
        <x:v>B</x:v>
      </x:c>
      <x:c r="I26" s="76" t="n">
        <x:v>750</x:v>
      </x:c>
      <x:c r="J26" s="71" t="str">
        <x:v>Food &amp; Nutrition supplier manager</x:v>
      </x:c>
      <x:c r="K26" s="71" t="str">
        <x:v>Not publicly listed</x:v>
      </x:c>
      <x:c r="L26" s="71" t="str">
        <x:v>communications@azelis.com; commercial via country contact</x:v>
      </x:c>
      <x:c r="M26" s="71" t="str">
        <x:v>+32 3 613 01 20</x:v>
      </x:c>
      <x:c r="N26" s="71" t="str">
        <x:v>https://www.azelis.com/en/contact</x:v>
      </x:c>
      <x:c r="O26" s="71" t="str">
        <x:v>https://www.azelis.com/</x:v>
      </x:c>
      <x:c r="P26" s="71" t="str">
        <x:v>Use country-specific commercial enquiry route; do not rely on corporate media email for sales.</x:v>
      </x:c>
      <x:c r="Q26" s="71" t="str">
        <x:v>Large specialty distributor that may place vanilla with manufacturers if aligned to portfolio.</x:v>
      </x:c>
      <x:c r="R26" s="71" t="str">
        <x:v>Ask for local food ingredients buyer and attach one-page supplier summary only.</x:v>
      </x:c>
      <x:c r="S26" s="71" t="str">
        <x:v>100-500 kg allocation after onboarding.</x:v>
      </x:c>
      <x:c r="T26" s="71" t="str">
        <x:v>Formal vendor setup likely; use LC/deposit for first transaction.</x:v>
      </x:c>
      <x:c r="U26" s="71" t="str">
        <x:v>Slow</x:v>
      </x:c>
      <x:c r="V26" s="71" t="str">
        <x:v>A - official contact page; commercial route varies</x:v>
      </x:c>
      <x:c r="W26" s="71" t="str">
        <x:v>https://www.azelis.com/en/contact</x:v>
      </x:c>
      <x:c r="X26" s="82" t="n">
        <x:v>46213</x:v>
      </x:c>
    </x:row>
    <x:row r="27">
      <x:c r="A27" s="57" t="n">
        <x:v>26</x:v>
      </x:c>
      <x:c r="B27" s="50" t="str">
        <x:v>IMCD Food &amp; Nutrition</x:v>
      </x:c>
      <x:c r="C27" s="50" t="str">
        <x:v>Global specialty ingredient distributor</x:v>
      </x:c>
      <x:c r="D27" s="50" t="str">
        <x:v>Netherlands / global</x:v>
      </x:c>
      <x:c r="E27" s="50" t="str">
        <x:v>Europe; Americas; APAC</x:v>
      </x:c>
      <x:c r="F27" s="50" t="str">
        <x:v>Food &amp; Nutrition ingredient distribution and formulation support</x:v>
      </x:c>
      <x:c r="G27" s="50" t="str">
        <x:v>High</x:v>
      </x:c>
      <x:c r="H27" s="50" t="str">
        <x:v>B</x:v>
      </x:c>
      <x:c r="I27" s="77" t="n">
        <x:v>750</x:v>
      </x:c>
      <x:c r="J27" s="50" t="str">
        <x:v>Food &amp; Nutrition category manager</x:v>
      </x:c>
      <x:c r="K27" s="50" t="str">
        <x:v>Not publicly listed</x:v>
      </x:c>
      <x:c r="L27" s="50" t="str">
        <x:v>Contact form / local office</x:v>
      </x:c>
      <x:c r="M27" s="50" t="str">
        <x:v>+1 800 442 4676</x:v>
      </x:c>
      <x:c r="N27" s="50" t="str">
        <x:v>https://www.imcdgroup.com/business-groups/food-and-nutrition</x:v>
      </x:c>
      <x:c r="O27" s="50" t="str">
        <x:v>https://www.imcdgroup.com/</x:v>
      </x:c>
      <x:c r="P27" s="50" t="str">
        <x:v>Use local-country IMCD contact and ask for food &amp; nutrition sourcing.</x:v>
      </x:c>
      <x:c r="Q27" s="50" t="str">
        <x:v>Global distributor with technical food applications; strong route to industrial users.</x:v>
      </x:c>
      <x:c r="R27" s="50" t="str">
        <x:v>Position as premium natural vanilla ingredient with documents and samples ready.</x:v>
      </x:c>
      <x:c r="S27" s="50" t="str">
        <x:v>100-500 kg after onboarding; likely sample-first.</x:v>
      </x:c>
      <x:c r="T27" s="50" t="str">
        <x:v>LC/deposit; qualify through local country office.</x:v>
      </x:c>
      <x:c r="U27" s="50" t="str">
        <x:v>Slow</x:v>
      </x:c>
      <x:c r="V27" s="50" t="str">
        <x:v>B - official site plus public listing phone</x:v>
      </x:c>
      <x:c r="W27" s="50" t="str">
        <x:v>https://www.imcdgroup.com/business-groups/food-and-nutrition</x:v>
      </x:c>
      <x:c r="X27" s="83" t="n">
        <x:v>46213</x:v>
      </x:c>
    </x:row>
    <x:row r="28">
      <x:c r="A28" s="70" t="n">
        <x:v>27</x:v>
      </x:c>
      <x:c r="B28" s="71" t="str">
        <x:v>Caldic</x:v>
      </x:c>
      <x:c r="C28" s="71" t="str">
        <x:v>Global ingredient distributor</x:v>
      </x:c>
      <x:c r="D28" s="71" t="str">
        <x:v>Netherlands / global</x:v>
      </x:c>
      <x:c r="E28" s="71" t="str">
        <x:v>Europe; North America; LATAM; APAC</x:v>
      </x:c>
      <x:c r="F28" s="71" t="str">
        <x:v>Food &amp; beverage ingredients, formulation and distribution</x:v>
      </x:c>
      <x:c r="G28" s="71" t="str">
        <x:v>High</x:v>
      </x:c>
      <x:c r="H28" s="71" t="str">
        <x:v>B</x:v>
      </x:c>
      <x:c r="I28" s="76" t="n">
        <x:v>750</x:v>
      </x:c>
      <x:c r="J28" s="71" t="str">
        <x:v>Food &amp; Beverage supplier manager</x:v>
      </x:c>
      <x:c r="K28" s="71" t="str">
        <x:v>Not publicly listed</x:v>
      </x:c>
      <x:c r="L28" s="71" t="str">
        <x:v>info.ingredients@caldic.nl</x:v>
      </x:c>
      <x:c r="M28" s="71" t="str">
        <x:v>+31 (0)30 799 2888</x:v>
      </x:c>
      <x:c r="N28" s="71" t="str">
        <x:v>https://www.caldic.com/en-us/contact-us/</x:v>
      </x:c>
      <x:c r="O28" s="71" t="str">
        <x:v>https://www.caldic.com/en-us/markets/food-beverage/</x:v>
      </x:c>
      <x:c r="P28" s="71" t="str">
        <x:v>Use Partner with Us/contact route; target food &amp; beverage supply management.</x:v>
      </x:c>
      <x:c r="Q28" s="71" t="str">
        <x:v>Global distributor with application labs and food &amp; beverage market focus.</x:v>
      </x:c>
      <x:c r="R28" s="71" t="str">
        <x:v>Offer Ecuador vanilla as a supply partner opportunity with CIF Europe/USA pricing.</x:v>
      </x:c>
      <x:c r="S28" s="71" t="str">
        <x:v>100-500 kg after sample approval.</x:v>
      </x:c>
      <x:c r="T28" s="71" t="str">
        <x:v>LC/deposit; confirm territory and non-exclusivity first.</x:v>
      </x:c>
      <x:c r="U28" s="71" t="str">
        <x:v>Slow</x:v>
      </x:c>
      <x:c r="V28" s="71" t="str">
        <x:v>A - official/global + public local contact</x:v>
      </x:c>
      <x:c r="W28" s="71" t="str">
        <x:v>https://www.caldic.com/en-us/contact-us/</x:v>
      </x:c>
      <x:c r="X28" s="82" t="n">
        <x:v>46213</x:v>
      </x:c>
    </x:row>
    <x:row r="29">
      <x:c r="A29" s="57" t="n">
        <x:v>28</x:v>
      </x:c>
      <x:c r="B29" s="50" t="str">
        <x:v>Connell / Caldic APAC</x:v>
      </x:c>
      <x:c r="C29" s="50" t="str">
        <x:v>APAC specialty ingredient distributor</x:v>
      </x:c>
      <x:c r="D29" s="50" t="str">
        <x:v>Singapore / APAC</x:v>
      </x:c>
      <x:c r="E29" s="50" t="str">
        <x:v>Southeast Asia; China; India; Australia/New Zealand</x:v>
      </x:c>
      <x:c r="F29" s="50" t="str">
        <x:v>Food, beverage and specialty ingredient distribution</x:v>
      </x:c>
      <x:c r="G29" s="50" t="str">
        <x:v>High</x:v>
      </x:c>
      <x:c r="H29" s="50" t="str">
        <x:v>B</x:v>
      </x:c>
      <x:c r="I29" s="77" t="n">
        <x:v>500</x:v>
      </x:c>
      <x:c r="J29" s="50" t="str">
        <x:v>APAC Food &amp; Beverage sourcing</x:v>
      </x:c>
      <x:c r="K29" s="50" t="str">
        <x:v>Not publicly listed</x:v>
      </x:c>
      <x:c r="L29" s="50" t="str">
        <x:v>Contact form via Caldic APAC</x:v>
      </x:c>
      <x:c r="M29" s="50" t="str">
        <x:v>Contact form only</x:v>
      </x:c>
      <x:c r="N29" s="50" t="str">
        <x:v>https://www.caldic.com/en-us/regions/apac/</x:v>
      </x:c>
      <x:c r="O29" s="50" t="str">
        <x:v>https://www.caldic.com/</x:v>
      </x:c>
      <x:c r="P29" s="50" t="str">
        <x:v>Use Caldic APAC route; ask for food &amp; beverage ingredient sourcing.</x:v>
      </x:c>
      <x:c r="Q29" s="50" t="str">
        <x:v>Strong route into APAC manufacturers where premium vanilla can command value.</x:v>
      </x:c>
      <x:c r="R29" s="50" t="str">
        <x:v>Pitch Ecuador origin as supply diversification beyond Madagascar/Indonesia.</x:v>
      </x:c>
      <x:c r="S29" s="50" t="str">
        <x:v>50-300 kg initial allocation after sample approval.</x:v>
      </x:c>
      <x:c r="T29" s="50" t="str">
        <x:v>CIF Singapore/Shanghai; LC or deposit; local compliance requirements apply.</x:v>
      </x:c>
      <x:c r="U29" s="50" t="str">
        <x:v>Medium-Slow</x:v>
      </x:c>
      <x:c r="V29" s="50" t="str">
        <x:v>B - official APAC route</x:v>
      </x:c>
      <x:c r="W29" s="50" t="str">
        <x:v>https://www.caldic.com/en-us/regions/apac/</x:v>
      </x:c>
      <x:c r="X29" s="83" t="n">
        <x:v>46213</x:v>
      </x:c>
    </x:row>
    <x:row r="30">
      <x:c r="A30" s="70" t="n">
        <x:v>29</x:v>
      </x:c>
      <x:c r="B30" s="71" t="str">
        <x:v>DKSH Performance Materials</x:v>
      </x:c>
      <x:c r="C30" s="71" t="str">
        <x:v>Market expansion / ingredient distributor</x:v>
      </x:c>
      <x:c r="D30" s="71" t="str">
        <x:v>Switzerland / APAC</x:v>
      </x:c>
      <x:c r="E30" s="71" t="str">
        <x:v>Asia; Europe; Americas</x:v>
      </x:c>
      <x:c r="F30" s="71" t="str">
        <x:v>Food &amp; beverage ingredients and distribution services</x:v>
      </x:c>
      <x:c r="G30" s="71" t="str">
        <x:v>High</x:v>
      </x:c>
      <x:c r="H30" s="71" t="str">
        <x:v>B</x:v>
      </x:c>
      <x:c r="I30" s="76" t="n">
        <x:v>500</x:v>
      </x:c>
      <x:c r="J30" s="71" t="str">
        <x:v>Food &amp; Beverage Ingredients sourcing</x:v>
      </x:c>
      <x:c r="K30" s="71" t="str">
        <x:v>Not publicly listed</x:v>
      </x:c>
      <x:c r="L30" s="71" t="str">
        <x:v>DKSH_PMID_SS@dksh.com</x:v>
      </x:c>
      <x:c r="M30" s="71" t="str">
        <x:v>+62 21 2988 8557; +1 800 966 1556</x:v>
      </x:c>
      <x:c r="N30" s="71" t="str">
        <x:v>https://www.dkshdiscover.com/en/contact-us</x:v>
      </x:c>
      <x:c r="O30" s="71" t="str">
        <x:v>https://www.dksh.com/global-en/home/performance-materials/industries/food-beverage-ingredients</x:v>
      </x:c>
      <x:c r="P30" s="71" t="str">
        <x:v>Use DKSH Discover/contact and ask for food &amp; beverage ingredients buyer.</x:v>
      </x:c>
      <x:c r="Q30" s="71" t="str">
        <x:v>Strong APAC distributor with ingredient platform and local market access.</x:v>
      </x:c>
      <x:c r="R30" s="71" t="str">
        <x:v>Position as Ecuador premium origin for chocolate, dairy and beverage manufacturers.</x:v>
      </x:c>
      <x:c r="S30" s="71" t="str">
        <x:v>50-300 kg via APAC channel after evaluation.</x:v>
      </x:c>
      <x:c r="T30" s="71" t="str">
        <x:v>CIF regional port; LC/deposit; confirm customs/import requirements.</x:v>
      </x:c>
      <x:c r="U30" s="71" t="str">
        <x:v>Medium-Slow</x:v>
      </x:c>
      <x:c r="V30" s="71" t="str">
        <x:v>A - official DKSH contact route/email</x:v>
      </x:c>
      <x:c r="W30" s="71" t="str">
        <x:v>https://www.dkshdiscover.com/en/contact-us</x:v>
      </x:c>
      <x:c r="X30" s="82" t="n">
        <x:v>46213</x:v>
      </x:c>
    </x:row>
    <x:row r="31">
      <x:c r="A31" s="57" t="n">
        <x:v>30</x:v>
      </x:c>
      <x:c r="B31" s="50" t="str">
        <x:v>Prinova</x:v>
      </x:c>
      <x:c r="C31" s="50" t="str">
        <x:v>Ingredient distributor</x:v>
      </x:c>
      <x:c r="D31" s="50" t="str">
        <x:v>United States / global</x:v>
      </x:c>
      <x:c r="E31" s="50" t="str">
        <x:v>North America; Europe; global</x:v>
      </x:c>
      <x:c r="F31" s="50" t="str">
        <x:v>Food ingredients, nutrition and specialty ingredient distribution</x:v>
      </x:c>
      <x:c r="G31" s="50" t="str">
        <x:v>High</x:v>
      </x:c>
      <x:c r="H31" s="50" t="str">
        <x:v>B</x:v>
      </x:c>
      <x:c r="I31" s="77" t="n">
        <x:v>500</x:v>
      </x:c>
      <x:c r="J31" s="50" t="str">
        <x:v>Food ingredient sourcing / procurement</x:v>
      </x:c>
      <x:c r="K31" s="50" t="str">
        <x:v>Not publicly listed</x:v>
      </x:c>
      <x:c r="L31" s="50" t="str">
        <x:v>info@prinovausa.com</x:v>
      </x:c>
      <x:c r="M31" s="50" t="str">
        <x:v>+1 630 868 0300</x:v>
      </x:c>
      <x:c r="N31" s="50" t="str">
        <x:v>https://www.prinovaglobal.com/us/en/contact-us</x:v>
      </x:c>
      <x:c r="O31" s="50" t="str">
        <x:v>https://www.prinovaglobal.com/us/en/ingredients/food</x:v>
      </x:c>
      <x:c r="P31" s="50" t="str">
        <x:v>Email/call and request food ingredients sourcing for vanilla.</x:v>
      </x:c>
      <x:c r="Q31" s="50" t="str">
        <x:v>Ingredient distributor with broad manufacturer customer base and US reach.</x:v>
      </x:c>
      <x:c r="R31" s="50" t="str">
        <x:v>Send supplier one-pager and ask for natural vanilla buyer or broker opportunity.</x:v>
      </x:c>
      <x:c r="S31" s="50" t="str">
        <x:v>100-500 kg; may need full specs and vendor forms.</x:v>
      </x:c>
      <x:c r="T31" s="50" t="str">
        <x:v>CIF US port; LC/deposit until credit established.</x:v>
      </x:c>
      <x:c r="U31" s="50" t="str">
        <x:v>Medium</x:v>
      </x:c>
      <x:c r="V31" s="50" t="str">
        <x:v>A - official public contact</x:v>
      </x:c>
      <x:c r="W31" s="50" t="str">
        <x:v>https://www.prinovaglobal.com/us/en/contact-us</x:v>
      </x:c>
      <x:c r="X31" s="83" t="n">
        <x:v>46213</x:v>
      </x:c>
    </x:row>
    <x:row r="32">
      <x:c r="A32" s="70" t="n">
        <x:v>31</x:v>
      </x:c>
      <x:c r="B32" s="71" t="str">
        <x:v>Quadra Group</x:v>
      </x:c>
      <x:c r="C32" s="71" t="str">
        <x:v>Ingredient distributor</x:v>
      </x:c>
      <x:c r="D32" s="71" t="str">
        <x:v>Canada / United States</x:v>
      </x:c>
      <x:c r="E32" s="71" t="str">
        <x:v>Canada; United States</x:v>
      </x:c>
      <x:c r="F32" s="71" t="str">
        <x:v>Food &amp; nutrition ingredients distribution</x:v>
      </x:c>
      <x:c r="G32" s="71" t="str">
        <x:v>High</x:v>
      </x:c>
      <x:c r="H32" s="71" t="str">
        <x:v>B</x:v>
      </x:c>
      <x:c r="I32" s="76" t="n">
        <x:v>300</x:v>
      </x:c>
      <x:c r="J32" s="71" t="str">
        <x:v>Food &amp; Nutrition category manager</x:v>
      </x:c>
      <x:c r="K32" s="71" t="str">
        <x:v>Not publicly listed</x:v>
      </x:c>
      <x:c r="L32" s="71" t="str">
        <x:v>Contact form only</x:v>
      </x:c>
      <x:c r="M32" s="71" t="str">
        <x:v>+1 800 665 6553</x:v>
      </x:c>
      <x:c r="N32" s="71" t="str">
        <x:v>https://quadragroup.com/en-us/contact-us/</x:v>
      </x:c>
      <x:c r="O32" s="71" t="str">
        <x:v>https://quadragroup.com/en-us/markets/food-and-nutrition/</x:v>
      </x:c>
      <x:c r="P32" s="71" t="str">
        <x:v>Use contact route and request food &amp; nutrition procurement for vanilla.</x:v>
      </x:c>
      <x:c r="Q32" s="71" t="str">
        <x:v>North American ingredient distributor with food &amp; nutrition business.</x:v>
      </x:c>
      <x:c r="R32" s="71" t="str">
        <x:v>Offer samples and a North America distributor margin on Ecuador-origin vanilla.</x:v>
      </x:c>
      <x:c r="S32" s="71" t="str">
        <x:v>50-250 kg trial; larger if they place with customers.</x:v>
      </x:c>
      <x:c r="T32" s="71" t="str">
        <x:v>CIF Montreal/Newark; LC/deposit.</x:v>
      </x:c>
      <x:c r="U32" s="71" t="str">
        <x:v>Medium</x:v>
      </x:c>
      <x:c r="V32" s="71" t="str">
        <x:v>A - official public contact</x:v>
      </x:c>
      <x:c r="W32" s="71" t="str">
        <x:v>https://quadragroup.com/en-us/contact-us/</x:v>
      </x:c>
      <x:c r="X32" s="82" t="n">
        <x:v>46213</x:v>
      </x:c>
    </x:row>
    <x:row r="33">
      <x:c r="A33" s="57" t="n">
        <x:v>32</x:v>
      </x:c>
      <x:c r="B33" s="50" t="str">
        <x:v>Royal Ingredients Group</x:v>
      </x:c>
      <x:c r="C33" s="50" t="str">
        <x:v>Global ingredient trader / distributor</x:v>
      </x:c>
      <x:c r="D33" s="50" t="str">
        <x:v>Netherlands / United States</x:v>
      </x:c>
      <x:c r="E33" s="50" t="str">
        <x:v>Europe; North America; global</x:v>
      </x:c>
      <x:c r="F33" s="50" t="str">
        <x:v>Plant-based and specialty ingredient trading/distribution</x:v>
      </x:c>
      <x:c r="G33" s="50" t="str">
        <x:v>Medium-High</x:v>
      </x:c>
      <x:c r="H33" s="50" t="str">
        <x:v>B</x:v>
      </x:c>
      <x:c r="I33" s="77" t="n">
        <x:v>300</x:v>
      </x:c>
      <x:c r="J33" s="50" t="str">
        <x:v>Specialty ingredient trader / sourcing</x:v>
      </x:c>
      <x:c r="K33" s="50" t="str">
        <x:v>Not publicly listed</x:v>
      </x:c>
      <x:c r="L33" s="50" t="str">
        <x:v>info@royal-ingredients.com</x:v>
      </x:c>
      <x:c r="M33" s="50" t="str">
        <x:v>+31 (0)72 520 8080; +1 312 806 6469</x:v>
      </x:c>
      <x:c r="N33" s="50" t="str">
        <x:v>https://www.royal-ingredients.com/contact/</x:v>
      </x:c>
      <x:c r="O33" s="50" t="str">
        <x:v>https://www.royal-ingredients.com/</x:v>
      </x:c>
      <x:c r="P33" s="50" t="str">
        <x:v>Email trading team; ask whether vanilla beans fit their specialty portfolio or customer requests.</x:v>
      </x:c>
      <x:c r="Q33" s="50" t="str">
        <x:v>Experienced international ingredient trading group with EU and US presence.</x:v>
      </x:c>
      <x:c r="R33" s="50" t="str">
        <x:v>Offer CIF Rotterdam/Chicago landed pricing and sample set.</x:v>
      </x:c>
      <x:c r="S33" s="50" t="str">
        <x:v>50-250 kg if they have customer pull.</x:v>
      </x:c>
      <x:c r="T33" s="50" t="str">
        <x:v>LC/deposit; provide full import documentation.</x:v>
      </x:c>
      <x:c r="U33" s="50" t="str">
        <x:v>Medium</x:v>
      </x:c>
      <x:c r="V33" s="50" t="str">
        <x:v>A - official contact plus public office phone</x:v>
      </x:c>
      <x:c r="W33" s="50" t="str">
        <x:v>https://www.royal-ingredients.com/contact/</x:v>
      </x:c>
      <x:c r="X33" s="83" t="n">
        <x:v>46213</x:v>
      </x:c>
    </x:row>
    <x:row r="34">
      <x:c r="A34" s="70" t="n">
        <x:v>33</x:v>
      </x:c>
      <x:c r="B34" s="71" t="str">
        <x:v>Kreglinger Europe</x:v>
      </x:c>
      <x:c r="C34" s="71" t="str">
        <x:v>Specialty ingredient distributor</x:v>
      </x:c>
      <x:c r="D34" s="71" t="str">
        <x:v>Belgium / United Kingdom</x:v>
      </x:c>
      <x:c r="E34" s="71" t="str">
        <x:v>Europe; UK</x:v>
      </x:c>
      <x:c r="F34" s="71" t="str">
        <x:v>Food ingredients, specialty distribution and technical sales</x:v>
      </x:c>
      <x:c r="G34" s="71" t="str">
        <x:v>Medium-High</x:v>
      </x:c>
      <x:c r="H34" s="71" t="str">
        <x:v>B</x:v>
      </x:c>
      <x:c r="I34" s="76" t="n">
        <x:v>250</x:v>
      </x:c>
      <x:c r="J34" s="71" t="str">
        <x:v>Food ingredients purchasing</x:v>
      </x:c>
      <x:c r="K34" s="71" t="str">
        <x:v>Not publicly listed</x:v>
      </x:c>
      <x:c r="L34" s="71" t="str">
        <x:v>info@kreglinger.com; food-uk@kreglinger.com</x:v>
      </x:c>
      <x:c r="M34" s="71" t="str">
        <x:v>+32 (0)3 22 22 020</x:v>
      </x:c>
      <x:c r="N34" s="71" t="str">
        <x:v>https://www.kreglinger.com/specialties/food-ingredients/</x:v>
      </x:c>
      <x:c r="O34" s="71" t="str">
        <x:v>https://www.kreglinger.com/</x:v>
      </x:c>
      <x:c r="P34" s="71" t="str">
        <x:v>Email Belgian and UK food ingredient teams; request buyer for vanilla/natural ingredients.</x:v>
      </x:c>
      <x:c r="Q34" s="71" t="str">
        <x:v>European specialty distributor; potentially useful for industrial and foodservice customers.</x:v>
      </x:c>
      <x:c r="R34" s="71" t="str">
        <x:v>Pitch Ecuador vanilla as premium natural ingredient with full documentation.</x:v>
      </x:c>
      <x:c r="S34" s="71" t="str">
        <x:v>25-200 kg after customer evaluation.</x:v>
      </x:c>
      <x:c r="T34" s="71" t="str">
        <x:v>CIF Antwerp/UK; LC or deposit first order.</x:v>
      </x:c>
      <x:c r="U34" s="71" t="str">
        <x:v>Medium</x:v>
      </x:c>
      <x:c r="V34" s="71" t="str">
        <x:v>A - official public contact</x:v>
      </x:c>
      <x:c r="W34" s="71" t="str">
        <x:v>https://www.kreglinger.com/specialties/food-ingredients/</x:v>
      </x:c>
      <x:c r="X34" s="82" t="n">
        <x:v>46213</x:v>
      </x:c>
    </x:row>
    <x:row r="35">
      <x:c r="A35" s="57" t="n">
        <x:v>34</x:v>
      </x:c>
      <x:c r="B35" s="50" t="str">
        <x:v>Meelunie</x:v>
      </x:c>
      <x:c r="C35" s="50" t="str">
        <x:v>Global ingredient supplier / trader</x:v>
      </x:c>
      <x:c r="D35" s="50" t="str">
        <x:v>Netherlands</x:v>
      </x:c>
      <x:c r="E35" s="50" t="str">
        <x:v>Europe; Americas; Asia</x:v>
      </x:c>
      <x:c r="F35" s="50" t="str">
        <x:v>Plant-based ingredients trading and distribution</x:v>
      </x:c>
      <x:c r="G35" s="50" t="str">
        <x:v>Medium</x:v>
      </x:c>
      <x:c r="H35" s="50" t="str">
        <x:v>B</x:v>
      </x:c>
      <x:c r="I35" s="77" t="n">
        <x:v>250</x:v>
      </x:c>
      <x:c r="J35" s="50" t="str">
        <x:v>Specialty ingredients trader</x:v>
      </x:c>
      <x:c r="K35" s="50" t="str">
        <x:v>Not publicly listed</x:v>
      </x:c>
      <x:c r="L35" s="50" t="str">
        <x:v>info@meelunie.com</x:v>
      </x:c>
      <x:c r="M35" s="50" t="str">
        <x:v>+31 20 530 6530; +1 248 957 0200</x:v>
      </x:c>
      <x:c r="N35" s="50" t="str">
        <x:v>https://meelunie.com/</x:v>
      </x:c>
      <x:c r="O35" s="50" t="str">
        <x:v>https://meelunie.com/</x:v>
      </x:c>
      <x:c r="P35" s="50" t="str">
        <x:v>Email trading team; ask if vanilla is within specialty ingredient requests.</x:v>
      </x:c>
      <x:c r="Q35" s="50" t="str">
        <x:v>Large global ingredient trader; less vanilla-specific but strong distribution capability.</x:v>
      </x:c>
      <x:c r="R35" s="50" t="str">
        <x:v>Approach as a spot opportunity only; ask for active customer demand before sampling.</x:v>
      </x:c>
      <x:c r="S35" s="50" t="str">
        <x:v>50-200 kg if customer pull exists.</x:v>
      </x:c>
      <x:c r="T35" s="50" t="str">
        <x:v>LC/deposit; avoid long unpaid sample process.</x:v>
      </x:c>
      <x:c r="U35" s="50" t="str">
        <x:v>Medium-Slow</x:v>
      </x:c>
      <x:c r="V35" s="50" t="str">
        <x:v>B - public corporate contact</x:v>
      </x:c>
      <x:c r="W35" s="50" t="str">
        <x:v>https://meelunie.com/</x:v>
      </x:c>
      <x:c r="X35" s="83" t="n">
        <x:v>46213</x:v>
      </x:c>
    </x:row>
    <x:row r="36">
      <x:c r="A36" s="70" t="n">
        <x:v>35</x:v>
      </x:c>
      <x:c r="B36" s="71" t="str">
        <x:v>Henley Bridge / HB Ingredients</x:v>
      </x:c>
      <x:c r="C36" s="71" t="str">
        <x:v>Premium ingredients distributor</x:v>
      </x:c>
      <x:c r="D36" s="71" t="str">
        <x:v>United Kingdom</x:v>
      </x:c>
      <x:c r="E36" s="71" t="str">
        <x:v>UK; foodservice; pastry; chocolatiers; gelato</x:v>
      </x:c>
      <x:c r="F36" s="71" t="str">
        <x:v>High-end baking, pastry, chocolate and ice-cream ingredients</x:v>
      </x:c>
      <x:c r="G36" s="71" t="str">
        <x:v>High</x:v>
      </x:c>
      <x:c r="H36" s="71" t="str">
        <x:v>A</x:v>
      </x:c>
      <x:c r="I36" s="76" t="n">
        <x:v>150</x:v>
      </x:c>
      <x:c r="J36" s="71" t="str">
        <x:v>Purchasing / category manager</x:v>
      </x:c>
      <x:c r="K36" s="71" t="str">
        <x:v>Not publicly listed</x:v>
      </x:c>
      <x:c r="L36" s="71" t="str">
        <x:v>hello@hbingredients.co.uk</x:v>
      </x:c>
      <x:c r="M36" s="71" t="str">
        <x:v>+44 (0)1273 476721</x:v>
      </x:c>
      <x:c r="N36" s="71" t="str">
        <x:v>https://hbingredients.co.uk/</x:v>
      </x:c>
      <x:c r="O36" s="71" t="str">
        <x:v>https://hbingredients.co.uk/</x:v>
      </x:c>
      <x:c r="P36" s="71" t="str">
        <x:v>Email buyer/category manager; ask for vanilla bean and premium ingredient sourcing.</x:v>
      </x:c>
      <x:c r="Q36" s="71" t="str">
        <x:v>Premium channel into pastry, chocolate, gelato and chef markets.</x:v>
      </x:c>
      <x:c r="R36" s="71" t="str">
        <x:v>Pitch high-margin Ecuador-origin premium beans rather than commodity bulk.</x:v>
      </x:c>
      <x:c r="S36" s="71" t="str">
        <x:v>10-75 kg; high-margin foodservice distribution.</x:v>
      </x:c>
      <x:c r="T36" s="71" t="str">
        <x:v>DAP/CIF UK; prepaid/deposit for first order.</x:v>
      </x:c>
      <x:c r="U36" s="71" t="str">
        <x:v>Fast-Medium</x:v>
      </x:c>
      <x:c r="V36" s="71" t="str">
        <x:v>A - official public contact</x:v>
      </x:c>
      <x:c r="W36" s="71" t="str">
        <x:v>https://hbingredients.co.uk/</x:v>
      </x:c>
      <x:c r="X36" s="82" t="n">
        <x:v>46213</x:v>
      </x:c>
    </x:row>
    <x:row r="37">
      <x:c r="A37" s="57" t="n">
        <x:v>36</x:v>
      </x:c>
      <x:c r="B37" s="50" t="str">
        <x:v>Batory Foods</x:v>
      </x:c>
      <x:c r="C37" s="50" t="str">
        <x:v>Food ingredient distributor</x:v>
      </x:c>
      <x:c r="D37" s="50" t="str">
        <x:v>United States</x:v>
      </x:c>
      <x:c r="E37" s="50" t="str">
        <x:v>United States</x:v>
      </x:c>
      <x:c r="F37" s="50" t="str">
        <x:v>Broad-line food ingredients for manufacturers</x:v>
      </x:c>
      <x:c r="G37" s="50" t="str">
        <x:v>Medium-High</x:v>
      </x:c>
      <x:c r="H37" s="50" t="str">
        <x:v>B</x:v>
      </x:c>
      <x:c r="I37" s="77" t="n">
        <x:v>300</x:v>
      </x:c>
      <x:c r="J37" s="50" t="str">
        <x:v>Sourcing / ingredient category manager</x:v>
      </x:c>
      <x:c r="K37" s="50" t="str">
        <x:v>Not publicly listed</x:v>
      </x:c>
      <x:c r="L37" s="50" t="str">
        <x:v>Contact form only</x:v>
      </x:c>
      <x:c r="M37" s="50" t="str">
        <x:v>+1 847 299 1999</x:v>
      </x:c>
      <x:c r="N37" s="50" t="str">
        <x:v>https://www.batoryfoods.com/</x:v>
      </x:c>
      <x:c r="O37" s="50" t="str">
        <x:v>https://www.batoryfoods.com/</x:v>
      </x:c>
      <x:c r="P37" s="50" t="str">
        <x:v>Use contact route and phone; ask for sourcing/category manager for vanilla or natural flavors.</x:v>
      </x:c>
      <x:c r="Q37" s="50" t="str">
        <x:v>Nationwide ingredient distributor with food manufacturing relationships.</x:v>
      </x:c>
      <x:c r="R37" s="50" t="str">
        <x:v>Pitch as spot supply only; ask if customers currently need natural vanilla beans.</x:v>
      </x:c>
      <x:c r="S37" s="50" t="str">
        <x:v>50-250 kg if tied to customer project.</x:v>
      </x:c>
      <x:c r="T37" s="50" t="str">
        <x:v>CIF US port; LC/deposit; formal vendor setup expected.</x:v>
      </x:c>
      <x:c r="U37" s="50" t="str">
        <x:v>Medium</x:v>
      </x:c>
      <x:c r="V37" s="50" t="str">
        <x:v>B - public company route/phone</x:v>
      </x:c>
      <x:c r="W37" s="50" t="str">
        <x:v>https://www.batoryfoods.com/</x:v>
      </x:c>
      <x:c r="X37" s="83" t="n">
        <x:v>46213</x:v>
      </x:c>
    </x:row>
    <x:row r="38">
      <x:c r="A38" s="70" t="n">
        <x:v>37</x:v>
      </x:c>
      <x:c r="B38" s="71" t="str">
        <x:v>Stover &amp; Company</x:v>
      </x:c>
      <x:c r="C38" s="71" t="str">
        <x:v>Bakery/confectionery ingredient distributor</x:v>
      </x:c>
      <x:c r="D38" s="71" t="str">
        <x:v>United States</x:v>
      </x:c>
      <x:c r="E38" s="71" t="str">
        <x:v>United States; bakery and confectionery</x:v>
      </x:c>
      <x:c r="F38" s="71" t="str">
        <x:v>Bakery, chocolate, confectionery and food ingredients</x:v>
      </x:c>
      <x:c r="G38" s="71" t="str">
        <x:v>Medium-High</x:v>
      </x:c>
      <x:c r="H38" s="71" t="str">
        <x:v>B</x:v>
      </x:c>
      <x:c r="I38" s="76" t="n">
        <x:v>150</x:v>
      </x:c>
      <x:c r="J38" s="71" t="str">
        <x:v>Purchasing / bakery ingredients buyer</x:v>
      </x:c>
      <x:c r="K38" s="71" t="str">
        <x:v>Not publicly listed</x:v>
      </x:c>
      <x:c r="L38" s="71" t="str">
        <x:v>info@stovercompany.com</x:v>
      </x:c>
      <x:c r="M38" s="71" t="str">
        <x:v>+1 724 274 6314</x:v>
      </x:c>
      <x:c r="N38" s="71" t="str">
        <x:v>https://www.stovercompany.com/</x:v>
      </x:c>
      <x:c r="O38" s="71" t="str">
        <x:v>https://www.stovercompany.com/</x:v>
      </x:c>
      <x:c r="P38" s="71" t="str">
        <x:v>Email buyer and ask for bulk vanilla bean/extract supply needs.</x:v>
      </x:c>
      <x:c r="Q38" s="71" t="str">
        <x:v>Baking and confectionery channels use vanilla and may value premium origin.</x:v>
      </x:c>
      <x:c r="R38" s="71" t="str">
        <x:v>Offer smaller premium lots and ask if they want a differentiated vanilla SKU.</x:v>
      </x:c>
      <x:c r="S38" s="71" t="str">
        <x:v>10-100 kg; likely high-margin smaller lots.</x:v>
      </x:c>
      <x:c r="T38" s="71" t="str">
        <x:v>Prepaid/deposit; air freight first order.</x:v>
      </x:c>
      <x:c r="U38" s="71" t="str">
        <x:v>Fast-Medium</x:v>
      </x:c>
      <x:c r="V38" s="71" t="str">
        <x:v>A - official public contact</x:v>
      </x:c>
      <x:c r="W38" s="71" t="str">
        <x:v>https://www.stovercompany.com/</x:v>
      </x:c>
      <x:c r="X38" s="82" t="n">
        <x:v>46213</x:v>
      </x:c>
    </x:row>
    <x:row r="39">
      <x:c r="A39" s="57" t="n">
        <x:v>38</x:v>
      </x:c>
      <x:c r="B39" s="50" t="str">
        <x:v>FDL Ltd / Fuerst Day Lawson</x:v>
      </x:c>
      <x:c r="C39" s="50" t="str">
        <x:v>Food &amp; beverage ingredient solutions provider</x:v>
      </x:c>
      <x:c r="D39" s="50" t="str">
        <x:v>United Kingdom</x:v>
      </x:c>
      <x:c r="E39" s="50" t="str">
        <x:v>UK; Europe; USA; Asia customer base</x:v>
      </x:c>
      <x:c r="F39" s="50" t="str">
        <x:v>Flavours, fillings, bakery pastes, juices and beverage ingredients</x:v>
      </x:c>
      <x:c r="G39" s="50" t="str">
        <x:v>Medium-High</x:v>
      </x:c>
      <x:c r="H39" s="50" t="str">
        <x:v>B</x:v>
      </x:c>
      <x:c r="I39" s="77" t="n">
        <x:v>300</x:v>
      </x:c>
      <x:c r="J39" s="50" t="str">
        <x:v>Raw materials purchasing / procurement</x:v>
      </x:c>
      <x:c r="K39" s="50" t="str">
        <x:v>Not publicly listed</x:v>
      </x:c>
      <x:c r="L39" s="50" t="str">
        <x:v>reception@fdl.co.uk</x:v>
      </x:c>
      <x:c r="M39" s="50" t="str">
        <x:v>+44 (0)207 488 0777</x:v>
      </x:c>
      <x:c r="N39" s="50" t="str">
        <x:v>https://fdlworld.com/contact-us/</x:v>
      </x:c>
      <x:c r="O39" s="50" t="str">
        <x:v>https://fdlworld.com/</x:v>
      </x:c>
      <x:c r="P39" s="50" t="str">
        <x:v>Use contact form/email and request raw materials purchasing for vanilla ingredients.</x:v>
      </x:c>
      <x:c r="Q39" s="50" t="str">
        <x:v>Food and beverage ingredient group with technical manufacturing and global customers.</x:v>
      </x:c>
      <x:c r="R39" s="50" t="str">
        <x:v>Position as premium vanilla raw material; ask whether they buy beans or require extracts/paste.</x:v>
      </x:c>
      <x:c r="S39" s="50" t="str">
        <x:v>50-250 kg if beans fit their raw-material program.</x:v>
      </x:c>
      <x:c r="T39" s="50" t="str">
        <x:v>LC/deposit; vendor qualification likely.</x:v>
      </x:c>
      <x:c r="U39" s="50" t="str">
        <x:v>Medium</x:v>
      </x:c>
      <x:c r="V39" s="50" t="str">
        <x:v>A - official phone, public email from company social profile</x:v>
      </x:c>
      <x:c r="W39" s="50" t="str">
        <x:v>https://fdlworld.com/contact-us/</x:v>
      </x:c>
      <x:c r="X39" s="83" t="n">
        <x:v>46213</x:v>
      </x:c>
    </x:row>
    <x:row r="40">
      <x:c r="A40" s="70" t="n">
        <x:v>39</x:v>
      </x:c>
      <x:c r="B40" s="71" t="str">
        <x:v>Pacific Spice Company</x:v>
      </x:c>
      <x:c r="C40" s="71" t="str">
        <x:v>Spice importer / distributor</x:v>
      </x:c>
      <x:c r="D40" s="71" t="str">
        <x:v>United States</x:v>
      </x:c>
      <x:c r="E40" s="71" t="str">
        <x:v>United States; industrial and foodservice</x:v>
      </x:c>
      <x:c r="F40" s="71" t="str">
        <x:v>Bulk spices, herbs and ingredient distribution</x:v>
      </x:c>
      <x:c r="G40" s="71" t="str">
        <x:v>Medium-High</x:v>
      </x:c>
      <x:c r="H40" s="71" t="str">
        <x:v>B</x:v>
      </x:c>
      <x:c r="I40" s="76" t="n">
        <x:v>200</x:v>
      </x:c>
      <x:c r="J40" s="71" t="str">
        <x:v>Procurement / spice buyer</x:v>
      </x:c>
      <x:c r="K40" s="71" t="str">
        <x:v>Not publicly listed</x:v>
      </x:c>
      <x:c r="L40" s="71" t="str">
        <x:v>Contact form only</x:v>
      </x:c>
      <x:c r="M40" s="71" t="str">
        <x:v>+1 323 726 9190</x:v>
      </x:c>
      <x:c r="N40" s="71" t="str">
        <x:v>https://pacificspice.com/contact/</x:v>
      </x:c>
      <x:c r="O40" s="71" t="str">
        <x:v>https://pacificspice.com/</x:v>
      </x:c>
      <x:c r="P40" s="71" t="str">
        <x:v>Use supplier/contact form; ask for buyer responsible for vanilla/spice imports.</x:v>
      </x:c>
      <x:c r="Q40" s="71" t="str">
        <x:v>Large spice distributor with import infrastructure and foodservice/manufacturing customers.</x:v>
      </x:c>
      <x:c r="R40" s="71" t="str">
        <x:v>Pitch extraction/gourmet grade split and ask for spot purchase interest.</x:v>
      </x:c>
      <x:c r="S40" s="71" t="str">
        <x:v>25-150 kg; potential more if they have active demand.</x:v>
      </x:c>
      <x:c r="T40" s="71" t="str">
        <x:v>FOB/CIF Los Angeles; deposit/LC.</x:v>
      </x:c>
      <x:c r="U40" s="71" t="str">
        <x:v>Medium</x:v>
      </x:c>
      <x:c r="V40" s="71" t="str">
        <x:v>A - official contact/phone</x:v>
      </x:c>
      <x:c r="W40" s="71" t="str">
        <x:v>https://pacificspice.com/contact/</x:v>
      </x:c>
      <x:c r="X40" s="82" t="n">
        <x:v>46213</x:v>
      </x:c>
    </x:row>
    <x:row r="41">
      <x:c r="A41" s="57" t="n">
        <x:v>40</x:v>
      </x:c>
      <x:c r="B41" s="50" t="str">
        <x:v>Kalustyan Corporation</x:v>
      </x:c>
      <x:c r="C41" s="50" t="str">
        <x:v>Spice importer / wholesaler</x:v>
      </x:c>
      <x:c r="D41" s="50" t="str">
        <x:v>United States</x:v>
      </x:c>
      <x:c r="E41" s="50" t="str">
        <x:v>North America; industrial and specialty</x:v>
      </x:c>
      <x:c r="F41" s="50" t="str">
        <x:v>Spice, herb and specialty ingredient importing/wholesale</x:v>
      </x:c>
      <x:c r="G41" s="50" t="str">
        <x:v>High</x:v>
      </x:c>
      <x:c r="H41" s="50" t="str">
        <x:v>A</x:v>
      </x:c>
      <x:c r="I41" s="77" t="n">
        <x:v>250</x:v>
      </x:c>
      <x:c r="J41" s="50" t="str">
        <x:v>Procurement / import buyer</x:v>
      </x:c>
      <x:c r="K41" s="50" t="str">
        <x:v>Not publicly listed</x:v>
      </x:c>
      <x:c r="L41" s="50" t="str">
        <x:v>info@kalustyan.com</x:v>
      </x:c>
      <x:c r="M41" s="50" t="str">
        <x:v>+1 800 441 2133; +1 908 688 6111</x:v>
      </x:c>
      <x:c r="N41" s="50" t="str">
        <x:v>https://www.kalustyan.com/</x:v>
      </x:c>
      <x:c r="O41" s="50" t="str">
        <x:v>https://www.kalustyan.com/</x:v>
      </x:c>
      <x:c r="P41" s="50" t="str">
        <x:v>Email/call and ask for vanilla or botanicals procurement.</x:v>
      </x:c>
      <x:c r="Q41" s="50" t="str">
        <x:v>Major spice importer/wholesaler with strong fit for origin-sourced vanilla.</x:v>
      </x:c>
      <x:c r="R41" s="50" t="str">
        <x:v>Send trade-style offer with price, specs and sample availability; avoid brand-heavy language.</x:v>
      </x:c>
      <x:c r="S41" s="50" t="str">
        <x:v>25-200 kg; possible repeat if quality matches.</x:v>
      </x:c>
      <x:c r="T41" s="50" t="str">
        <x:v>CIF NY/NJ; deposit/LC for first order.</x:v>
      </x:c>
      <x:c r="U41" s="50" t="str">
        <x:v>Fast-Medium</x:v>
      </x:c>
      <x:c r="V41" s="50" t="str">
        <x:v>A - official public contact</x:v>
      </x:c>
      <x:c r="W41" s="50" t="str">
        <x:v>https://www.kalustyan.com/</x:v>
      </x:c>
      <x:c r="X41" s="83" t="n">
        <x:v>46213</x:v>
      </x:c>
    </x:row>
    <x:row r="42">
      <x:c r="A42" s="70" t="n">
        <x:v>41</x:v>
      </x:c>
      <x:c r="B42" s="71" t="str">
        <x:v>Rocky Mountain Spice Company</x:v>
      </x:c>
      <x:c r="C42" s="71" t="str">
        <x:v>Spice manufacturer / distributor</x:v>
      </x:c>
      <x:c r="D42" s="71" t="str">
        <x:v>United States</x:v>
      </x:c>
      <x:c r="E42" s="71" t="str">
        <x:v>United States; foodservice and industrial</x:v>
      </x:c>
      <x:c r="F42" s="71" t="str">
        <x:v>Bulk herbs, spices, custom blends and ingredient supply</x:v>
      </x:c>
      <x:c r="G42" s="71" t="str">
        <x:v>Medium-High</x:v>
      </x:c>
      <x:c r="H42" s="71" t="str">
        <x:v>B</x:v>
      </x:c>
      <x:c r="I42" s="76" t="n">
        <x:v>150</x:v>
      </x:c>
      <x:c r="J42" s="71" t="str">
        <x:v>Purchasing / spice buyer</x:v>
      </x:c>
      <x:c r="K42" s="71" t="str">
        <x:v>Not publicly listed</x:v>
      </x:c>
      <x:c r="L42" s="71" t="str">
        <x:v>sales@rockymountainspice.com</x:v>
      </x:c>
      <x:c r="M42" s="71" t="str">
        <x:v>+1 303 308 8066</x:v>
      </x:c>
      <x:c r="N42" s="71" t="str">
        <x:v>https://rockymountainspice.com/contact/</x:v>
      </x:c>
      <x:c r="O42" s="71" t="str">
        <x:v>https://rockymountainspice.com/</x:v>
      </x:c>
      <x:c r="P42" s="71" t="str">
        <x:v>Email sales and request purchasing manager for bulk vanilla/ingredients.</x:v>
      </x:c>
      <x:c r="Q42" s="71" t="str">
        <x:v>Responsive mid-sized spice channel; may test specialty vanilla faster than large distributors.</x:v>
      </x:c>
      <x:c r="R42" s="71" t="str">
        <x:v>Offer sample, 10 kg pilot and 25-100 kg lot with firm price.</x:v>
      </x:c>
      <x:c r="S42" s="71" t="str">
        <x:v>10-100 kg; premium/foodservice focus.</x:v>
      </x:c>
      <x:c r="T42" s="71" t="str">
        <x:v>Prepaid/deposit; air freight or consolidated shipping.</x:v>
      </x:c>
      <x:c r="U42" s="71" t="str">
        <x:v>Fast</x:v>
      </x:c>
      <x:c r="V42" s="71" t="str">
        <x:v>A - official public contact</x:v>
      </x:c>
      <x:c r="W42" s="71" t="str">
        <x:v>https://rockymountainspice.com/contact/</x:v>
      </x:c>
      <x:c r="X42" s="82" t="n">
        <x:v>46213</x:v>
      </x:c>
    </x:row>
    <x:row r="43">
      <x:c r="A43" s="57" t="n">
        <x:v>42</x:v>
      </x:c>
      <x:c r="B43" s="50" t="str">
        <x:v>Woodland Gourmet / Woodland Foods</x:v>
      </x:c>
      <x:c r="C43" s="50" t="str">
        <x:v>Specialty ingredient distributor</x:v>
      </x:c>
      <x:c r="D43" s="50" t="str">
        <x:v>United States</x:v>
      </x:c>
      <x:c r="E43" s="50" t="str">
        <x:v>United States; foodservice; industrial; retail</x:v>
      </x:c>
      <x:c r="F43" s="50" t="str">
        <x:v>Specialty dried foods, herbs, spices and gourmet ingredients</x:v>
      </x:c>
      <x:c r="G43" s="50" t="str">
        <x:v>Medium-High</x:v>
      </x:c>
      <x:c r="H43" s="50" t="str">
        <x:v>B</x:v>
      </x:c>
      <x:c r="I43" s="77" t="n">
        <x:v>200</x:v>
      </x:c>
      <x:c r="J43" s="50" t="str">
        <x:v>Purchasing / specialty ingredient buyer</x:v>
      </x:c>
      <x:c r="K43" s="50" t="str">
        <x:v>Not publicly listed</x:v>
      </x:c>
      <x:c r="L43" s="50" t="str">
        <x:v>sales@woodlandgourmet.com</x:v>
      </x:c>
      <x:c r="M43" s="50" t="str">
        <x:v>+1 847 625 8600</x:v>
      </x:c>
      <x:c r="N43" s="50" t="str">
        <x:v>https://www.woodlandgourmet.com/contact/</x:v>
      </x:c>
      <x:c r="O43" s="50" t="str">
        <x:v>https://www.woodlandgourmet.com/</x:v>
      </x:c>
      <x:c r="P43" s="50" t="str">
        <x:v>Email sales and ask for purchasing/category manager for vanilla or spices.</x:v>
      </x:c>
      <x:c r="Q43" s="50" t="str">
        <x:v>Large specialty ingredient distributor with foodservice and industrial reach.</x:v>
      </x:c>
      <x:c r="R43" s="50" t="str">
        <x:v>Pitch Ecuador-origin vanilla as premium specialty ingredient with sample availability.</x:v>
      </x:c>
      <x:c r="S43" s="50" t="str">
        <x:v>25-150 kg; likely SKU/customer review needed.</x:v>
      </x:c>
      <x:c r="T43" s="50" t="str">
        <x:v>CIF Chicago/US port; deposit/LC first order.</x:v>
      </x:c>
      <x:c r="U43" s="50" t="str">
        <x:v>Medium</x:v>
      </x:c>
      <x:c r="V43" s="50" t="str">
        <x:v>B - public sales/phone; verify current route</x:v>
      </x:c>
      <x:c r="W43" s="50" t="str">
        <x:v>https://www.woodlandgourmet.com/contact/</x:v>
      </x:c>
      <x:c r="X43" s="83" t="n">
        <x:v>46213</x:v>
      </x:c>
    </x:row>
    <x:row r="44">
      <x:c r="A44" s="70" t="n">
        <x:v>43</x:v>
      </x:c>
      <x:c r="B44" s="71" t="str">
        <x:v>Frontier Co-op</x:v>
      </x:c>
      <x:c r="C44" s="71" t="str">
        <x:v>Natural/organic spice distributor</x:v>
      </x:c>
      <x:c r="D44" s="71" t="str">
        <x:v>United States</x:v>
      </x:c>
      <x:c r="E44" s="71" t="str">
        <x:v>United States; natural retail and wholesale</x:v>
      </x:c>
      <x:c r="F44" s="71" t="str">
        <x:v>Organic herbs, spices, extracts and natural products</x:v>
      </x:c>
      <x:c r="G44" s="71" t="str">
        <x:v>High</x:v>
      </x:c>
      <x:c r="H44" s="71" t="str">
        <x:v>B</x:v>
      </x:c>
      <x:c r="I44" s="76" t="n">
        <x:v>250</x:v>
      </x:c>
      <x:c r="J44" s="71" t="str">
        <x:v>Sourcing / supplier relations</x:v>
      </x:c>
      <x:c r="K44" s="71" t="str">
        <x:v>Not publicly listed</x:v>
      </x:c>
      <x:c r="L44" s="71" t="str">
        <x:v>customercare@frontiercoop.com</x:v>
      </x:c>
      <x:c r="M44" s="71" t="str">
        <x:v>+1 844 550 6200</x:v>
      </x:c>
      <x:c r="N44" s="71" t="str">
        <x:v>https://www.frontiercoop.com/contact</x:v>
      </x:c>
      <x:c r="O44" s="71" t="str">
        <x:v>https://wholesale.frontiercoop.com/</x:v>
      </x:c>
      <x:c r="P44" s="71" t="str">
        <x:v>Use supplier/wholesale route; ask for sourcing team for vanilla beans.</x:v>
      </x:c>
      <x:c r="Q44" s="71" t="str">
        <x:v>Large natural/organic brand and distributor; potential premium organic channel.</x:v>
      </x:c>
      <x:c r="R44" s="71" t="str">
        <x:v>If certified organic/fair-trade-style story exists, prioritize; otherwise ask about conventional specialty needs.</x:v>
      </x:c>
      <x:c r="S44" s="71" t="str">
        <x:v>25-200 kg if certification matches; slower vendor process.</x:v>
      </x:c>
      <x:c r="T44" s="71" t="str">
        <x:v>Formal vendor onboarding; first order by PO/LC or deposit.</x:v>
      </x:c>
      <x:c r="U44" s="71" t="str">
        <x:v>Medium-Slow</x:v>
      </x:c>
      <x:c r="V44" s="71" t="str">
        <x:v>A - official public contact</x:v>
      </x:c>
      <x:c r="W44" s="71" t="str">
        <x:v>https://www.frontiercoop.com/contact</x:v>
      </x:c>
      <x:c r="X44" s="82" t="n">
        <x:v>46213</x:v>
      </x:c>
    </x:row>
    <x:row r="45">
      <x:c r="A45" s="57" t="n">
        <x:v>44</x:v>
      </x:c>
      <x:c r="B45" s="50" t="str">
        <x:v>Mountain Rose Herbs</x:v>
      </x:c>
      <x:c r="C45" s="50" t="str">
        <x:v>Organic herb/spice wholesaler</x:v>
      </x:c>
      <x:c r="D45" s="50" t="str">
        <x:v>United States</x:v>
      </x:c>
      <x:c r="E45" s="50" t="str">
        <x:v>United States; wholesale; natural products</x:v>
      </x:c>
      <x:c r="F45" s="50" t="str">
        <x:v>Organic herbs, spices, botanicals and wholesale ingredient supply</x:v>
      </x:c>
      <x:c r="G45" s="50" t="str">
        <x:v>High</x:v>
      </x:c>
      <x:c r="H45" s="50" t="str">
        <x:v>A</x:v>
      </x:c>
      <x:c r="I45" s="77" t="n">
        <x:v>150</x:v>
      </x:c>
      <x:c r="J45" s="50" t="str">
        <x:v>Wholesale purchasing / sourcing</x:v>
      </x:c>
      <x:c r="K45" s="50" t="str">
        <x:v>Wholesale team</x:v>
      </x:c>
      <x:c r="L45" s="50" t="str">
        <x:v>wholesale@mountainroseherbs.com; support@mountainroseherbs.com</x:v>
      </x:c>
      <x:c r="M45" s="50" t="str">
        <x:v>+1 800 879 3337 ext. 126</x:v>
      </x:c>
      <x:c r="N45" s="50" t="str">
        <x:v>https://mountainroseherbs.com/wholesale/hub</x:v>
      </x:c>
      <x:c r="O45" s="50" t="str">
        <x:v>https://mountainroseherbs.com/</x:v>
      </x:c>
      <x:c r="P45" s="50" t="str">
        <x:v>Email wholesale/sourcing; ask whether they evaluate origin-specific vanilla beans.</x:v>
      </x:c>
      <x:c r="Q45" s="50" t="str">
        <x:v>Strong premium natural-products channel with wholesale team contact.</x:v>
      </x:c>
      <x:c r="R45" s="50" t="str">
        <x:v>Pitch traceability, organic/sustainability data and sensory quality. Offer small sample first.</x:v>
      </x:c>
      <x:c r="S45" s="50" t="str">
        <x:v>10-100 kg; higher only if certifications fit.</x:v>
      </x:c>
      <x:c r="T45" s="50" t="str">
        <x:v>Prepaid/deposit; air freight for fast trial.</x:v>
      </x:c>
      <x:c r="U45" s="50" t="str">
        <x:v>Fast-Medium</x:v>
      </x:c>
      <x:c r="V45" s="50" t="str">
        <x:v>A - official wholesale contact</x:v>
      </x:c>
      <x:c r="W45" s="50" t="str">
        <x:v>https://mountainroseherbs.com/wholesale/hub</x:v>
      </x:c>
      <x:c r="X45" s="83" t="n">
        <x:v>46213</x:v>
      </x:c>
    </x:row>
    <x:row r="46">
      <x:c r="A46" s="70" t="n">
        <x:v>45</x:v>
      </x:c>
      <x:c r="B46" s="71" t="str">
        <x:v>Burlap &amp; Barrel</x:v>
      </x:c>
      <x:c r="C46" s="71" t="str">
        <x:v>Premium single-origin spice importer</x:v>
      </x:c>
      <x:c r="D46" s="71" t="str">
        <x:v>United States</x:v>
      </x:c>
      <x:c r="E46" s="71" t="str">
        <x:v>United States; specialty retail; foodservice</x:v>
      </x:c>
      <x:c r="F46" s="71" t="str">
        <x:v>Single-origin spices and direct-trade storytelling</x:v>
      </x:c>
      <x:c r="G46" s="71" t="str">
        <x:v>Medium-High</x:v>
      </x:c>
      <x:c r="H46" s="71" t="str">
        <x:v>B</x:v>
      </x:c>
      <x:c r="I46" s="76" t="n">
        <x:v>75</x:v>
      </x:c>
      <x:c r="J46" s="71" t="str">
        <x:v>Sourcing / founder team</x:v>
      </x:c>
      <x:c r="K46" s="71" t="str">
        <x:v>Not publicly listed</x:v>
      </x:c>
      <x:c r="L46" s="71" t="str">
        <x:v>care@burlapandbarrel.com</x:v>
      </x:c>
      <x:c r="M46" s="71" t="str">
        <x:v>Not publicly listed</x:v>
      </x:c>
      <x:c r="N46" s="71" t="str">
        <x:v>https://www.burlapandbarrel.com/pages/contact-us</x:v>
      </x:c>
      <x:c r="O46" s="71" t="str">
        <x:v>https://www.burlapandbarrel.com/</x:v>
      </x:c>
      <x:c r="P46" s="71" t="str">
        <x:v>Email care/contact and request sourcing team; keep story authentic and concise.</x:v>
      </x:c>
      <x:c r="Q46" s="71" t="str">
        <x:v>Premium single-origin spice positioning aligns with Ecuador-origin vanilla story.</x:v>
      </x:c>
      <x:c r="R46" s="71" t="str">
        <x:v>Pitch a limited single-origin Ecuador vanilla project, not bulk commodity sale.</x:v>
      </x:c>
      <x:c r="S46" s="71" t="str">
        <x:v>5-50 kg; high-margin but low volume.</x:v>
      </x:c>
      <x:c r="T46" s="71" t="str">
        <x:v>Prepaid/deposit; protect story, provenance and exclusivity terms.</x:v>
      </x:c>
      <x:c r="U46" s="71" t="str">
        <x:v>Fast-Medium</x:v>
      </x:c>
      <x:c r="V46" s="71" t="str">
        <x:v>A - official public contact</x:v>
      </x:c>
      <x:c r="W46" s="71" t="str">
        <x:v>https://www.burlapandbarrel.com/pages/contact-us</x:v>
      </x:c>
      <x:c r="X46" s="82" t="n">
        <x:v>46213</x:v>
      </x:c>
    </x:row>
    <x:row r="47">
      <x:c r="A47" s="57" t="n">
        <x:v>46</x:v>
      </x:c>
      <x:c r="B47" s="50" t="str">
        <x:v>The Spice House</x:v>
      </x:c>
      <x:c r="C47" s="50" t="str">
        <x:v>Premium spice retailer / wholesaler</x:v>
      </x:c>
      <x:c r="D47" s="50" t="str">
        <x:v>United States</x:v>
      </x:c>
      <x:c r="E47" s="50" t="str">
        <x:v>United States; online and wholesale</x:v>
      </x:c>
      <x:c r="F47" s="50" t="str">
        <x:v>Bulk spices, wholesale and premium specialty food</x:v>
      </x:c>
      <x:c r="G47" s="50" t="str">
        <x:v>Medium-High</x:v>
      </x:c>
      <x:c r="H47" s="50" t="str">
        <x:v>B</x:v>
      </x:c>
      <x:c r="I47" s="77" t="n">
        <x:v>100</x:v>
      </x:c>
      <x:c r="J47" s="50" t="str">
        <x:v>Wholesale buyer / category manager</x:v>
      </x:c>
      <x:c r="K47" s="50" t="str">
        <x:v>Not publicly listed</x:v>
      </x:c>
      <x:c r="L47" s="50" t="str">
        <x:v>wholesale@thespicehouse.com; support@thespicehouse.com</x:v>
      </x:c>
      <x:c r="M47" s="50" t="str">
        <x:v>+1 312 676 2414</x:v>
      </x:c>
      <x:c r="N47" s="50" t="str">
        <x:v>https://www.thespicehouse.com/pages/wholesale-bulk-spices</x:v>
      </x:c>
      <x:c r="O47" s="50" t="str">
        <x:v>https://www.thespicehouse.com/</x:v>
      </x:c>
      <x:c r="P47" s="50" t="str">
        <x:v>Use wholesale email and ask for vanilla/category purchasing.</x:v>
      </x:c>
      <x:c r="Q47" s="50" t="str">
        <x:v>Premium spice channel with wholesale program; could buy smaller high-margin lots.</x:v>
      </x:c>
      <x:c r="R47" s="50" t="str">
        <x:v>Pitch a limited Ecuador-origin wholesale vanilla bean lot with retail story.</x:v>
      </x:c>
      <x:c r="S47" s="50" t="str">
        <x:v>10-75 kg; high-margin specialty distribution.</x:v>
      </x:c>
      <x:c r="T47" s="50" t="str">
        <x:v>Prepaid/deposit; air freight or courier.</x:v>
      </x:c>
      <x:c r="U47" s="50" t="str">
        <x:v>Fast-Medium</x:v>
      </x:c>
      <x:c r="V47" s="50" t="str">
        <x:v>A - official public wholesale/contact</x:v>
      </x:c>
      <x:c r="W47" s="50" t="str">
        <x:v>https://www.thespicehouse.com/pages/wholesale-bulk-spices</x:v>
      </x:c>
      <x:c r="X47" s="83" t="n">
        <x:v>46213</x:v>
      </x:c>
    </x:row>
    <x:row r="48">
      <x:c r="A48" s="70" t="n">
        <x:v>47</x:v>
      </x:c>
      <x:c r="B48" s="71" t="str">
        <x:v>Savory Spice Foodservice</x:v>
      </x:c>
      <x:c r="C48" s="71" t="str">
        <x:v>Spice wholesaler / foodservice distributor</x:v>
      </x:c>
      <x:c r="D48" s="71" t="str">
        <x:v>United States</x:v>
      </x:c>
      <x:c r="E48" s="71" t="str">
        <x:v>United States; foodservice; online</x:v>
      </x:c>
      <x:c r="F48" s="71" t="str">
        <x:v>Spices, seasonings and foodservice wholesale</x:v>
      </x:c>
      <x:c r="G48" s="71" t="str">
        <x:v>Medium</x:v>
      </x:c>
      <x:c r="H48" s="71" t="str">
        <x:v>B</x:v>
      </x:c>
      <x:c r="I48" s="76" t="n">
        <x:v>75</x:v>
      </x:c>
      <x:c r="J48" s="71" t="str">
        <x:v>Foodservice purchasing / category manager</x:v>
      </x:c>
      <x:c r="K48" s="71" t="str">
        <x:v>Not publicly listed</x:v>
      </x:c>
      <x:c r="L48" s="71" t="str">
        <x:v>Contact form / orders route</x:v>
      </x:c>
      <x:c r="M48" s="71" t="str">
        <x:v>+1 720 939 3533; +1 888 677 3322</x:v>
      </x:c>
      <x:c r="N48" s="71" t="str">
        <x:v>https://savoryspicefoodservices.com/</x:v>
      </x:c>
      <x:c r="O48" s="71" t="str">
        <x:v>https://www.savoryspiceshop.com/</x:v>
      </x:c>
      <x:c r="P48" s="71" t="str">
        <x:v>Call foodservice line and ask for purchasing/category manager for vanilla.</x:v>
      </x:c>
      <x:c r="Q48" s="71" t="str">
        <x:v>Foodservice spice channel; likely smaller volumes but faster evaluation.</x:v>
      </x:c>
      <x:c r="R48" s="71" t="str">
        <x:v>Pitch 5-25 kg sample/commercial lot and ask if vanilla is in their assortment plan.</x:v>
      </x:c>
      <x:c r="S48" s="71" t="str">
        <x:v>5-50 kg; premium smaller lots.</x:v>
      </x:c>
      <x:c r="T48" s="71" t="str">
        <x:v>Prepaid/deposit; air freight.</x:v>
      </x:c>
      <x:c r="U48" s="71" t="str">
        <x:v>Fast-Medium</x:v>
      </x:c>
      <x:c r="V48" s="71" t="str">
        <x:v>B - official foodservice/brand routes</x:v>
      </x:c>
      <x:c r="W48" s="71" t="str">
        <x:v>https://savoryspicefoodservices.com/</x:v>
      </x:c>
      <x:c r="X48" s="82" t="n">
        <x:v>46213</x:v>
      </x:c>
    </x:row>
    <x:row r="49">
      <x:c r="A49" s="57" t="n">
        <x:v>48</x:v>
      </x:c>
      <x:c r="B49" s="50" t="str">
        <x:v>Nedspice Group</x:v>
      </x:c>
      <x:c r="C49" s="50" t="str">
        <x:v>Global spice importer / processor</x:v>
      </x:c>
      <x:c r="D49" s="50" t="str">
        <x:v>Netherlands</x:v>
      </x:c>
      <x:c r="E49" s="50" t="str">
        <x:v>Europe; USA; India; Vietnam; global</x:v>
      </x:c>
      <x:c r="F49" s="50" t="str">
        <x:v>Spices, herbs and dehydrated ingredients</x:v>
      </x:c>
      <x:c r="G49" s="50" t="str">
        <x:v>High</x:v>
      </x:c>
      <x:c r="H49" s="50" t="str">
        <x:v>B</x:v>
      </x:c>
      <x:c r="I49" s="77" t="n">
        <x:v>400</x:v>
      </x:c>
      <x:c r="J49" s="50" t="str">
        <x:v>Spice sourcing / procurement</x:v>
      </x:c>
      <x:c r="K49" s="50" t="str">
        <x:v>Not publicly listed</x:v>
      </x:c>
      <x:c r="L49" s="50" t="str">
        <x:v>spices@nedspice.com; stock@nedspice.com</x:v>
      </x:c>
      <x:c r="M49" s="50" t="str">
        <x:v>+31 10 280 1380</x:v>
      </x:c>
      <x:c r="N49" s="50" t="str">
        <x:v>https://www.nedspice.com/locations/</x:v>
      </x:c>
      <x:c r="O49" s="50" t="str">
        <x:v>https://www.nedspice.com/</x:v>
      </x:c>
      <x:c r="P49" s="50" t="str">
        <x:v>Email sourcing/stock desk and request buyer for vanilla or premium spices.</x:v>
      </x:c>
      <x:c r="Q49" s="50" t="str">
        <x:v>Global spice importer/processor with sourcing infrastructure and industrial customers.</x:v>
      </x:c>
      <x:c r="R49" s="50" t="str">
        <x:v>Offer a structured lot with grade split and CIF Rotterdam pricing.</x:v>
      </x:c>
      <x:c r="S49" s="50" t="str">
        <x:v>50-300 kg if vanilla fits their portfolio or customer need.</x:v>
      </x:c>
      <x:c r="T49" s="50" t="str">
        <x:v>CIF Rotterdam; LC/deposit; provide full quality paperwork.</x:v>
      </x:c>
      <x:c r="U49" s="50" t="str">
        <x:v>Medium</x:v>
      </x:c>
      <x:c r="V49" s="50" t="str">
        <x:v>A - official/public contact</x:v>
      </x:c>
      <x:c r="W49" s="50" t="str">
        <x:v>https://www.nedspice.com/locations/</x:v>
      </x:c>
      <x:c r="X49" s="83" t="n">
        <x:v>46213</x:v>
      </x:c>
    </x:row>
    <x:row r="50">
      <x:c r="A50" s="70" t="n">
        <x:v>49</x:v>
      </x:c>
      <x:c r="B50" s="71" t="str">
        <x:v>Fuchs Food Solutions / Fuchs North America</x:v>
      </x:c>
      <x:c r="C50" s="71" t="str">
        <x:v>Spice and food ingredients manufacturer / distributor</x:v>
      </x:c>
      <x:c r="D50" s="71" t="str">
        <x:v>Germany / United States</x:v>
      </x:c>
      <x:c r="E50" s="71" t="str">
        <x:v>Europe; North America; global</x:v>
      </x:c>
      <x:c r="F50" s="71" t="str">
        <x:v>Spices, seasoning systems and food industry solutions</x:v>
      </x:c>
      <x:c r="G50" s="71" t="str">
        <x:v>Medium-High</x:v>
      </x:c>
      <x:c r="H50" s="71" t="str">
        <x:v>B</x:v>
      </x:c>
      <x:c r="I50" s="76" t="n">
        <x:v>300</x:v>
      </x:c>
      <x:c r="J50" s="71" t="str">
        <x:v>Procurement / raw materials buyer</x:v>
      </x:c>
      <x:c r="K50" s="71" t="str">
        <x:v>Not publicly listed</x:v>
      </x:c>
      <x:c r="L50" s="71" t="str">
        <x:v>Contact form only</x:v>
      </x:c>
      <x:c r="M50" s="71" t="str">
        <x:v>+1 410 363 1700; +1 800 365 3229</x:v>
      </x:c>
      <x:c r="N50" s="71" t="str">
        <x:v>https://fuchsna.com/our-approach/dedicated-customer-teams/</x:v>
      </x:c>
      <x:c r="O50" s="71" t="str">
        <x:v>https://fuchsna.com/</x:v>
      </x:c>
      <x:c r="P50" s="71" t="str">
        <x:v>Call North America or use food solutions contact; ask for raw materials purchasing.</x:v>
      </x:c>
      <x:c r="Q50" s="71" t="str">
        <x:v>Large spice/seasoning group; may need vanilla for blends, retail or industrial customers.</x:v>
      </x:c>
      <x:c r="R50" s="71" t="str">
        <x:v>Ask directly if they buy vanilla beans; send sample only after buyer confirms category relevance.</x:v>
      </x:c>
      <x:c r="S50" s="71" t="str">
        <x:v>25-250 kg; slower corporate process.</x:v>
      </x:c>
      <x:c r="T50" s="71" t="str">
        <x:v>CIF US/EU; LC/deposit; formal vendor setup.</x:v>
      </x:c>
      <x:c r="U50" s="71" t="str">
        <x:v>Medium-Slow</x:v>
      </x:c>
      <x:c r="V50" s="71" t="str">
        <x:v>B - official food-business route/phone</x:v>
      </x:c>
      <x:c r="W50" s="71" t="str">
        <x:v>https://fuchsna.com/our-approach/dedicated-customer-teams/</x:v>
      </x:c>
      <x:c r="X50" s="82" t="n">
        <x:v>46213</x:v>
      </x:c>
    </x:row>
    <x:row r="51">
      <x:c r="A51" s="57" t="n">
        <x:v>50</x:v>
      </x:c>
      <x:c r="B51" s="50" t="str">
        <x:v>EHL Ingredients</x:v>
      </x:c>
      <x:c r="C51" s="50" t="str">
        <x:v>Spice importer / blender / packer</x:v>
      </x:c>
      <x:c r="D51" s="50" t="str">
        <x:v>United Kingdom</x:v>
      </x:c>
      <x:c r="E51" s="50" t="str">
        <x:v>UK; Europe</x:v>
      </x:c>
      <x:c r="F51" s="50" t="str">
        <x:v>Herbs, spices, seasonings, pulses, dried ingredients and organic products</x:v>
      </x:c>
      <x:c r="G51" s="50" t="str">
        <x:v>Medium-High</x:v>
      </x:c>
      <x:c r="H51" s="50" t="str">
        <x:v>B</x:v>
      </x:c>
      <x:c r="I51" s="77" t="n">
        <x:v>150</x:v>
      </x:c>
      <x:c r="J51" s="50" t="str">
        <x:v>Purchasing / imports</x:v>
      </x:c>
      <x:c r="K51" s="50" t="str">
        <x:v>Not publicly listed</x:v>
      </x:c>
      <x:c r="L51" s="50" t="str">
        <x:v>info@ehl-ingredients.co.uk</x:v>
      </x:c>
      <x:c r="M51" s="50" t="str">
        <x:v>+44 161 480 7902</x:v>
      </x:c>
      <x:c r="N51" s="50" t="str">
        <x:v>https://www.ehl-ingredients.co.uk/</x:v>
      </x:c>
      <x:c r="O51" s="50" t="str">
        <x:v>https://www.ehl-ingredients.co.uk/</x:v>
      </x:c>
      <x:c r="P51" s="50" t="str">
        <x:v>Email purchasing/imports and ask if they source vanilla beans.</x:v>
      </x:c>
      <x:c r="Q51" s="50" t="str">
        <x:v>UK importer/blender/packer with spice and organic ingredients focus.</x:v>
      </x:c>
      <x:c r="R51" s="50" t="str">
        <x:v>Offer CIF UK price, 1 kg sample and 25-100 kg first-lot options.</x:v>
      </x:c>
      <x:c r="S51" s="50" t="str">
        <x:v>25-100 kg if category matches.</x:v>
      </x:c>
      <x:c r="T51" s="50" t="str">
        <x:v>CIF UK; deposit/LC first order.</x:v>
      </x:c>
      <x:c r="U51" s="50" t="str">
        <x:v>Fast-Medium</x:v>
      </x:c>
      <x:c r="V51" s="50" t="str">
        <x:v>A - official public contact</x:v>
      </x:c>
      <x:c r="W51" s="50" t="str">
        <x:v>https://www.ehl-ingredients.co.uk/</x:v>
      </x:c>
      <x:c r="X51" s="83" t="n">
        <x:v>46213</x:v>
      </x:c>
    </x:row>
    <x:row r="52">
      <x:c r="A52" s="70" t="n">
        <x:v>51</x:v>
      </x:c>
      <x:c r="B52" s="71" t="str">
        <x:v>All Seasonings Ingredients</x:v>
      </x:c>
      <x:c r="C52" s="71" t="str">
        <x:v>Spice/ingredient supplier / distributor</x:v>
      </x:c>
      <x:c r="D52" s="71" t="str">
        <x:v>United States</x:v>
      </x:c>
      <x:c r="E52" s="71" t="str">
        <x:v>United States; foodservice; industrial</x:v>
      </x:c>
      <x:c r="F52" s="71" t="str">
        <x:v>Spices, herbs, ingredients, blends, foodservice and industrial supply</x:v>
      </x:c>
      <x:c r="G52" s="71" t="str">
        <x:v>Medium</x:v>
      </x:c>
      <x:c r="H52" s="71" t="str">
        <x:v>B</x:v>
      </x:c>
      <x:c r="I52" s="76" t="n">
        <x:v>100</x:v>
      </x:c>
      <x:c r="J52" s="71" t="str">
        <x:v>Purchasing / VP Sales / ingredient sourcing</x:v>
      </x:c>
      <x:c r="K52" s="71" t="str">
        <x:v>Jennifer Randolph - public listing as VP Sales</x:v>
      </x:c>
      <x:c r="L52" s="71" t="str">
        <x:v>inquiries@allseasonings.com</x:v>
      </x:c>
      <x:c r="M52" s="71" t="str">
        <x:v>+1 315 361 1066</x:v>
      </x:c>
      <x:c r="N52" s="71" t="str">
        <x:v>https://allseasonings.com/industrial/</x:v>
      </x:c>
      <x:c r="O52" s="71" t="str">
        <x:v>https://allseasonings.com/</x:v>
      </x:c>
      <x:c r="P52" s="71" t="str">
        <x:v>Use inquiries/contact form; ask for buyer or VP Sales referral to procurement.</x:v>
      </x:c>
      <x:c r="Q52" s="71" t="str">
        <x:v>Spice and ingredient distributor/manufacturer with industrial and foodservice customers.</x:v>
      </x:c>
      <x:c r="R52" s="71" t="str">
        <x:v>Offer smaller Ecuador-origin lot and ask if customers request whole vanilla beans.</x:v>
      </x:c>
      <x:c r="S52" s="71" t="str">
        <x:v>10-75 kg; likely opportunistic.</x:v>
      </x:c>
      <x:c r="T52" s="71" t="str">
        <x:v>Prepaid/deposit; air freight for trial.</x:v>
      </x:c>
      <x:c r="U52" s="71" t="str">
        <x:v>Fast-Medium</x:v>
      </x:c>
      <x:c r="V52" s="71" t="str">
        <x:v>B - official site and public directory contact</x:v>
      </x:c>
      <x:c r="W52" s="71" t="str">
        <x:v>https://allseasonings.com/industrial/</x:v>
      </x:c>
      <x:c r="X52" s="82" t="n">
        <x:v>46213</x:v>
      </x:c>
    </x:row>
    <x:row r="53">
      <x:c r="A53" s="57" t="n">
        <x:v>52</x:v>
      </x:c>
      <x:c r="B53" s="50" t="str">
        <x:v>Atalanta Corporation</x:v>
      </x:c>
      <x:c r="C53" s="50" t="str">
        <x:v>Specialty food importer / distributor</x:v>
      </x:c>
      <x:c r="D53" s="50" t="str">
        <x:v>United States</x:v>
      </x:c>
      <x:c r="E53" s="50" t="str">
        <x:v>United States; specialty food channels</x:v>
      </x:c>
      <x:c r="F53" s="50" t="str">
        <x:v>Premium imported foods, specialty grocery and foodservice distribution</x:v>
      </x:c>
      <x:c r="G53" s="50" t="str">
        <x:v>Medium</x:v>
      </x:c>
      <x:c r="H53" s="50" t="str">
        <x:v>C</x:v>
      </x:c>
      <x:c r="I53" s="77" t="n">
        <x:v>150</x:v>
      </x:c>
      <x:c r="J53" s="50" t="str">
        <x:v>Grocery category buyer / specialty ingredient buyer</x:v>
      </x:c>
      <x:c r="K53" s="50" t="str">
        <x:v>Not publicly listed</x:v>
      </x:c>
      <x:c r="L53" s="50" t="str">
        <x:v>Contact form only</x:v>
      </x:c>
      <x:c r="M53" s="50" t="str">
        <x:v>+1 908 351 8000</x:v>
      </x:c>
      <x:c r="N53" s="50" t="str">
        <x:v>https://www.atalantacorp.com/</x:v>
      </x:c>
      <x:c r="O53" s="50" t="str">
        <x:v>https://www.atalantacorp.com/</x:v>
      </x:c>
      <x:c r="P53" s="50" t="str">
        <x:v>Use official contact/corporate phone; ask for grocery/specialty ingredients category manager.</x:v>
      </x:c>
      <x:c r="Q53" s="50" t="str">
        <x:v>Large specialty importer; more relevant if vanilla is packaged/retail-ready or private-label.</x:v>
      </x:c>
      <x:c r="R53" s="50" t="str">
        <x:v>Pitch only after you can offer retail/foodservice packaging or a branded origin program.</x:v>
      </x:c>
      <x:c r="S53" s="50" t="str">
        <x:v>25-100 kg equivalent if converted to packaged SKU.</x:v>
      </x:c>
      <x:c r="T53" s="50" t="str">
        <x:v>Distributor terms may be slow; avoid raw bulk pitch unless buyer confirms.</x:v>
      </x:c>
      <x:c r="U53" s="50" t="str">
        <x:v>Slow</x:v>
      </x:c>
      <x:c r="V53" s="50" t="str">
        <x:v>B - official site plus public phone listing</x:v>
      </x:c>
      <x:c r="W53" s="50" t="str">
        <x:v>https://www.atalantacorp.com/</x:v>
      </x:c>
      <x:c r="X53" s="83" t="n">
        <x:v>46213</x:v>
      </x:c>
    </x:row>
    <x:row r="54">
      <x:c r="A54" s="70" t="n">
        <x:v>53</x:v>
      </x:c>
      <x:c r="B54" s="71" t="str">
        <x:v>World Finer Foods</x:v>
      </x:c>
      <x:c r="C54" s="71" t="str">
        <x:v>Premium food importer / brand distributor</x:v>
      </x:c>
      <x:c r="D54" s="71" t="str">
        <x:v>United States</x:v>
      </x:c>
      <x:c r="E54" s="71" t="str">
        <x:v>United States; premium retail and grocery</x:v>
      </x:c>
      <x:c r="F54" s="71" t="str">
        <x:v>Premium food and beverage brands; specialty distribution</x:v>
      </x:c>
      <x:c r="G54" s="71" t="str">
        <x:v>Medium</x:v>
      </x:c>
      <x:c r="H54" s="71" t="str">
        <x:v>C</x:v>
      </x:c>
      <x:c r="I54" s="76" t="n">
        <x:v>100</x:v>
      </x:c>
      <x:c r="J54" s="71" t="str">
        <x:v>Brand/category manager / supplier relations</x:v>
      </x:c>
      <x:c r="K54" s="71" t="str">
        <x:v>Not publicly listed</x:v>
      </x:c>
      <x:c r="L54" s="71" t="str">
        <x:v>Contact form only</x:v>
      </x:c>
      <x:c r="M54" s="71" t="str">
        <x:v>+1 973 338 0300 ext. 1002</x:v>
      </x:c>
      <x:c r="N54" s="71" t="str">
        <x:v>https://worldfiner.com/contact/</x:v>
      </x:c>
      <x:c r="O54" s="71" t="str">
        <x:v>https://worldfiner.com/</x:v>
      </x:c>
      <x:c r="P54" s="71" t="str">
        <x:v>Use general inquiries form and ask whether they consider premium vanilla brands or ingredients.</x:v>
      </x:c>
      <x:c r="Q54" s="71" t="str">
        <x:v>Strong premium retail distribution, but best fit for packaged vanilla product not raw beans.</x:v>
      </x:c>
      <x:c r="R54" s="71" t="str">
        <x:v>Approach if you can create finished vanilla beans/extract/paste packaging for retail.</x:v>
      </x:c>
      <x:c r="S54" s="71" t="str">
        <x:v>10-75 kg equivalent; retail SKU route.</x:v>
      </x:c>
      <x:c r="T54" s="71" t="str">
        <x:v>Expect long onboarding; payment terms through distributor after approval.</x:v>
      </x:c>
      <x:c r="U54" s="71" t="str">
        <x:v>Slow</x:v>
      </x:c>
      <x:c r="V54" s="71" t="str">
        <x:v>A - official contact/phone</x:v>
      </x:c>
      <x:c r="W54" s="71" t="str">
        <x:v>https://worldfiner.com/contact/</x:v>
      </x:c>
      <x:c r="X54" s="82" t="n">
        <x:v>46213</x:v>
      </x:c>
    </x:row>
    <x:row r="55">
      <x:c r="A55" s="57" t="n">
        <x:v>54</x:v>
      </x:c>
      <x:c r="B55" s="50" t="str">
        <x:v>Gourmet Foods International</x:v>
      </x:c>
      <x:c r="C55" s="50" t="str">
        <x:v>Specialty food distributor</x:v>
      </x:c>
      <x:c r="D55" s="50" t="str">
        <x:v>United States</x:v>
      </x:c>
      <x:c r="E55" s="50" t="str">
        <x:v>United States; foodservice and specialty grocery</x:v>
      </x:c>
      <x:c r="F55" s="50" t="str">
        <x:v>Specialty food distribution and supplier programs</x:v>
      </x:c>
      <x:c r="G55" s="50" t="str">
        <x:v>Medium</x:v>
      </x:c>
      <x:c r="H55" s="50" t="str">
        <x:v>C</x:v>
      </x:c>
      <x:c r="I55" s="77" t="n">
        <x:v>100</x:v>
      </x:c>
      <x:c r="J55" s="50" t="str">
        <x:v>Supplier relations / specialty grocery buyer</x:v>
      </x:c>
      <x:c r="K55" s="50" t="str">
        <x:v>Not publicly listed</x:v>
      </x:c>
      <x:c r="L55" s="50" t="str">
        <x:v>customersupport@gfifoods.com</x:v>
      </x:c>
      <x:c r="M55" s="50" t="str">
        <x:v>+1 800 966 6172</x:v>
      </x:c>
      <x:c r="N55" s="50" t="str">
        <x:v>https://www.gfifoods.com/contact-us</x:v>
      </x:c>
      <x:c r="O55" s="50" t="str">
        <x:v>https://www.gfifoods.com/</x:v>
      </x:c>
      <x:c r="P55" s="50" t="str">
        <x:v>Use supplier/contact route; ask if they carry premium vanilla or baking ingredients.</x:v>
      </x:c>
      <x:c r="Q55" s="50" t="str">
        <x:v>Wide specialty food distribution footprint; best for packaged/foodservice SKU.</x:v>
      </x:c>
      <x:c r="R55" s="50" t="str">
        <x:v>Pitch retail-ready or foodservice-packaged Ecuador-origin vanilla, not loose bulk only.</x:v>
      </x:c>
      <x:c r="S55" s="50" t="str">
        <x:v>10-75 kg equivalent; slow but broad channel.</x:v>
      </x:c>
      <x:c r="T55" s="50" t="str">
        <x:v>Distributor onboarding and terms; first direct raw sale unlikely.</x:v>
      </x:c>
      <x:c r="U55" s="50" t="str">
        <x:v>Slow</x:v>
      </x:c>
      <x:c r="V55" s="50" t="str">
        <x:v>A - official public contact</x:v>
      </x:c>
      <x:c r="W55" s="50" t="str">
        <x:v>https://www.gfifoods.com/contact-us</x:v>
      </x:c>
      <x:c r="X55" s="83" t="n">
        <x:v>46213</x:v>
      </x:c>
    </x:row>
    <x:row r="56">
      <x:c r="A56" s="70" t="n">
        <x:v>55</x:v>
      </x:c>
      <x:c r="B56" s="71" t="str">
        <x:v>European Imports / Sysco</x:v>
      </x:c>
      <x:c r="C56" s="71" t="str">
        <x:v>Specialty food importer / distributor</x:v>
      </x:c>
      <x:c r="D56" s="71" t="str">
        <x:v>United States</x:v>
      </x:c>
      <x:c r="E56" s="71" t="str">
        <x:v>United States; foodservice; specialty distribution</x:v>
      </x:c>
      <x:c r="F56" s="71" t="str">
        <x:v>Specialty imported foods, pastry and foodservice products</x:v>
      </x:c>
      <x:c r="G56" s="71" t="str">
        <x:v>Medium</x:v>
      </x:c>
      <x:c r="H56" s="71" t="str">
        <x:v>C</x:v>
      </x:c>
      <x:c r="I56" s="76" t="n">
        <x:v>100</x:v>
      </x:c>
      <x:c r="J56" s="71" t="str">
        <x:v>Pastry/baking category buyer</x:v>
      </x:c>
      <x:c r="K56" s="71" t="str">
        <x:v>Not publicly listed</x:v>
      </x:c>
      <x:c r="L56" s="71" t="str">
        <x:v>319support@euroimp.sysco.com</x:v>
      </x:c>
      <x:c r="M56" s="71" t="str">
        <x:v>+1 800 323 3464; +1 847 631 6000</x:v>
      </x:c>
      <x:c r="N56" s="71" t="str">
        <x:v>https://www.eiltd.com/contact.php</x:v>
      </x:c>
      <x:c r="O56" s="71" t="str">
        <x:v>https://www.eiltd.com/</x:v>
      </x:c>
      <x:c r="P56" s="71" t="str">
        <x:v>Contact support and ask for pastry/baking category purchasing.</x:v>
      </x:c>
      <x:c r="Q56" s="71" t="str">
        <x:v>Strong route to pastry/foodservice if vanilla is packaged or foodservice-ready.</x:v>
      </x:c>
      <x:c r="R56" s="71" t="str">
        <x:v>Offer foodservice packs or finished extract/paste only after confirming category interest.</x:v>
      </x:c>
      <x:c r="S56" s="71" t="str">
        <x:v>10-75 kg equivalent; likely packaged product channel.</x:v>
      </x:c>
      <x:c r="T56" s="71" t="str">
        <x:v>Distributor onboarding; raw bean spot purchase less likely.</x:v>
      </x:c>
      <x:c r="U56" s="71" t="str">
        <x:v>Slow</x:v>
      </x:c>
      <x:c r="V56" s="71" t="str">
        <x:v>A - official public contact</x:v>
      </x:c>
      <x:c r="W56" s="71" t="str">
        <x:v>https://www.eiltd.com/contact.php</x:v>
      </x:c>
      <x:c r="X56" s="82" t="n">
        <x:v>46213</x:v>
      </x:c>
    </x:row>
    <x:row r="57">
      <x:c r="A57" s="57" t="n">
        <x:v>56</x:v>
      </x:c>
      <x:c r="B57" s="50" t="str">
        <x:v>The Chefs' Warehouse</x:v>
      </x:c>
      <x:c r="C57" s="50" t="str">
        <x:v>Specialty food distributor</x:v>
      </x:c>
      <x:c r="D57" s="50" t="str">
        <x:v>United States</x:v>
      </x:c>
      <x:c r="E57" s="50" t="str">
        <x:v>North America; Middle East; fine dining</x:v>
      </x:c>
      <x:c r="F57" s="50" t="str">
        <x:v>Specialty wholesale food distribution to chefs, hotels and fine food stores</x:v>
      </x:c>
      <x:c r="G57" s="50" t="str">
        <x:v>Medium</x:v>
      </x:c>
      <x:c r="H57" s="50" t="str">
        <x:v>C</x:v>
      </x:c>
      <x:c r="I57" s="77" t="n">
        <x:v>100</x:v>
      </x:c>
      <x:c r="J57" s="50" t="str">
        <x:v>Specialty ingredient/category buyer</x:v>
      </x:c>
      <x:c r="K57" s="50" t="str">
        <x:v>Not publicly listed</x:v>
      </x:c>
      <x:c r="L57" s="50" t="str">
        <x:v>Contact form / website route</x:v>
      </x:c>
      <x:c r="M57" s="50" t="str">
        <x:v>+1 203 893 5200</x:v>
      </x:c>
      <x:c r="N57" s="50" t="str">
        <x:v>https://www.chefswarehouse.com/</x:v>
      </x:c>
      <x:c r="O57" s="50" t="str">
        <x:v>https://www.chefswarehouse.com/</x:v>
      </x:c>
      <x:c r="P57" s="50" t="str">
        <x:v>Use corporate route and request buyer for baking/pastry ingredients.</x:v>
      </x:c>
      <x:c r="Q57" s="50" t="str">
        <x:v>High-end chef channel; best for premium packaged beans/paste/extract.</x:v>
      </x:c>
      <x:c r="R57" s="50" t="str">
        <x:v>Pitch chefs' origin story and foodservice format, not raw commodity volume.</x:v>
      </x:c>
      <x:c r="S57" s="50" t="str">
        <x:v>10-50 kg equivalent; high-margin but slow onboarding.</x:v>
      </x:c>
      <x:c r="T57" s="50" t="str">
        <x:v>Distributor terms; test with samples and chef-focused packaging.</x:v>
      </x:c>
      <x:c r="U57" s="50" t="str">
        <x:v>Slow</x:v>
      </x:c>
      <x:c r="V57" s="50" t="str">
        <x:v>B - public corporate route/phone, verify</x:v>
      </x:c>
      <x:c r="W57" s="50" t="str">
        <x:v>https://www.chefswarehouse.com/about-us/Who_We_Are/</x:v>
      </x:c>
      <x:c r="X57" s="83" t="n">
        <x:v>46213</x:v>
      </x:c>
    </x:row>
    <x:row r="58">
      <x:c r="A58" s="70" t="n">
        <x:v>57</x:v>
      </x:c>
      <x:c r="B58" s="71" t="str">
        <x:v>KeHE Distributors</x:v>
      </x:c>
      <x:c r="C58" s="71" t="str">
        <x:v>Natural/specialty grocery distributor</x:v>
      </x:c>
      <x:c r="D58" s="71" t="str">
        <x:v>United States</x:v>
      </x:c>
      <x:c r="E58" s="71" t="str">
        <x:v>United States; natural and specialty retail</x:v>
      </x:c>
      <x:c r="F58" s="71" t="str">
        <x:v>Natural, organic, fresh and specialty distribution</x:v>
      </x:c>
      <x:c r="G58" s="71" t="str">
        <x:v>Medium</x:v>
      </x:c>
      <x:c r="H58" s="71" t="str">
        <x:v>C</x:v>
      </x:c>
      <x:c r="I58" s="76" t="n">
        <x:v>100</x:v>
      </x:c>
      <x:c r="J58" s="71" t="str">
        <x:v>Supplier onboarding / category manager</x:v>
      </x:c>
      <x:c r="K58" s="71" t="str">
        <x:v>Not publicly listed</x:v>
      </x:c>
      <x:c r="L58" s="71" t="str">
        <x:v>Supplier portal only</x:v>
      </x:c>
      <x:c r="M58" s="71" t="str">
        <x:v>Supplier portal only</x:v>
      </x:c>
      <x:c r="N58" s="71" t="str">
        <x:v>https://www.kehe.com/suppliers/</x:v>
      </x:c>
      <x:c r="O58" s="71" t="str">
        <x:v>https://www.kehe.com/</x:v>
      </x:c>
      <x:c r="P58" s="71" t="str">
        <x:v>Use supplier submission portal only if you have retail-ready vanilla product.</x:v>
      </x:c>
      <x:c r="Q58" s="71" t="str">
        <x:v>Large specialty distributor; useful for packaged product expansion, not fast raw bulk sale.</x:v>
      </x:c>
      <x:c r="R58" s="71" t="str">
        <x:v>Approach only with finished packaged SKU, barcodes, margin structure and retail story.</x:v>
      </x:c>
      <x:c r="S58" s="71" t="str">
        <x:v>10-50 kg equivalent through packaged units.</x:v>
      </x:c>
      <x:c r="T58" s="71" t="str">
        <x:v>Long onboarding; not a fast cash buyer for raw vanilla.</x:v>
      </x:c>
      <x:c r="U58" s="71" t="str">
        <x:v>Slow</x:v>
      </x:c>
      <x:c r="V58" s="71" t="str">
        <x:v>A - official supplier portal</x:v>
      </x:c>
      <x:c r="W58" s="71" t="str">
        <x:v>https://www.kehe.com/suppliers/</x:v>
      </x:c>
      <x:c r="X58" s="82" t="n">
        <x:v>46213</x:v>
      </x:c>
    </x:row>
    <x:row r="59">
      <x:c r="A59" s="57" t="n">
        <x:v>58</x:v>
      </x:c>
      <x:c r="B59" s="50" t="str">
        <x:v>UNFI</x:v>
      </x:c>
      <x:c r="C59" s="50" t="str">
        <x:v>Natural/organic/specialty wholesale distributor</x:v>
      </x:c>
      <x:c r="D59" s="50" t="str">
        <x:v>United States</x:v>
      </x:c>
      <x:c r="E59" s="50" t="str">
        <x:v>United States; Canada</x:v>
      </x:c>
      <x:c r="F59" s="50" t="str">
        <x:v>Natural, organic, specialty and conventional wholesale distribution</x:v>
      </x:c>
      <x:c r="G59" s="50" t="str">
        <x:v>Medium</x:v>
      </x:c>
      <x:c r="H59" s="50" t="str">
        <x:v>C</x:v>
      </x:c>
      <x:c r="I59" s="77" t="n">
        <x:v>100</x:v>
      </x:c>
      <x:c r="J59" s="50" t="str">
        <x:v>Supplier onboarding / category manager</x:v>
      </x:c>
      <x:c r="K59" s="50" t="str">
        <x:v>Not publicly listed</x:v>
      </x:c>
      <x:c r="L59" s="50" t="str">
        <x:v>Supplier portal only</x:v>
      </x:c>
      <x:c r="M59" s="50" t="str">
        <x:v>Supplier portal only</x:v>
      </x:c>
      <x:c r="N59" s="50" t="str">
        <x:v>https://www.unfi.com/suppliers</x:v>
      </x:c>
      <x:c r="O59" s="50" t="str">
        <x:v>https://www.unfi.com/</x:v>
      </x:c>
      <x:c r="P59" s="50" t="str">
        <x:v>Use supplier portal only for packaged product; raw beans are unlikely to move quickly here.</x:v>
      </x:c>
      <x:c r="Q59" s="50" t="str">
        <x:v>Massive natural/specialty distribution footprint, but slower retail-channel economics.</x:v>
      </x:c>
      <x:c r="R59" s="50" t="str">
        <x:v>Use for finished product strategy after bulk cash sales are already moving.</x:v>
      </x:c>
      <x:c r="S59" s="50" t="str">
        <x:v>10-50 kg equivalent via packaged SKU.</x:v>
      </x:c>
      <x:c r="T59" s="50" t="str">
        <x:v>Long onboarding, deductions and retail terms; not first target for speed.</x:v>
      </x:c>
      <x:c r="U59" s="50" t="str">
        <x:v>Slow</x:v>
      </x:c>
      <x:c r="V59" s="50" t="str">
        <x:v>B - official supplier portal, verify route</x:v>
      </x:c>
      <x:c r="W59" s="50" t="str">
        <x:v>https://www.unfi.com/suppliers</x:v>
      </x:c>
      <x:c r="X59" s="83" t="n">
        <x:v>46213</x:v>
      </x:c>
    </x:row>
    <x:row r="60">
      <x:c r="A60" s="70" t="n">
        <x:v>59</x:v>
      </x:c>
      <x:c r="B60" s="71" t="str">
        <x:v>Specialty Food Source</x:v>
      </x:c>
      <x:c r="C60" s="71" t="str">
        <x:v>Digital specialty food distributor</x:v>
      </x:c>
      <x:c r="D60" s="71" t="str">
        <x:v>United States</x:v>
      </x:c>
      <x:c r="E60" s="71" t="str">
        <x:v>United States; online wholesale</x:v>
      </x:c>
      <x:c r="F60" s="71" t="str">
        <x:v>Specialty food sourcing and online wholesale supply</x:v>
      </x:c>
      <x:c r="G60" s="71" t="str">
        <x:v>Medium</x:v>
      </x:c>
      <x:c r="H60" s="71" t="str">
        <x:v>C</x:v>
      </x:c>
      <x:c r="I60" s="76" t="n">
        <x:v>75</x:v>
      </x:c>
      <x:c r="J60" s="71" t="str">
        <x:v>Supplier relations / purchasing</x:v>
      </x:c>
      <x:c r="K60" s="71" t="str">
        <x:v>Not publicly listed</x:v>
      </x:c>
      <x:c r="L60" s="71" t="str">
        <x:v>support@specialtyfoodsource.com</x:v>
      </x:c>
      <x:c r="M60" s="71" t="str">
        <x:v>+1 508 941 8992</x:v>
      </x:c>
      <x:c r="N60" s="71" t="str">
        <x:v>https://specialtyfoodsource.com/pages/contact</x:v>
      </x:c>
      <x:c r="O60" s="71" t="str">
        <x:v>https://specialtyfoodsource.com/</x:v>
      </x:c>
      <x:c r="P60" s="71" t="str">
        <x:v>Email supplier interest; ask if they want premium Ecuador vanilla for marketplace/wholesale.</x:v>
      </x:c>
      <x:c r="Q60" s="71" t="str">
        <x:v>Smaller digital channel; easier to test than national distributors.</x:v>
      </x:c>
      <x:c r="R60" s="71" t="str">
        <x:v>Offer finished/packaged beans or foodservice packs with high-margin story.</x:v>
      </x:c>
      <x:c r="S60" s="71" t="str">
        <x:v>5-50 kg; quick test possible.</x:v>
      </x:c>
      <x:c r="T60" s="71" t="str">
        <x:v>Prepaid/marketplace terms; protect pricing and brand positioning.</x:v>
      </x:c>
      <x:c r="U60" s="71" t="str">
        <x:v>Fast-Medium</x:v>
      </x:c>
      <x:c r="V60" s="71" t="str">
        <x:v>A - official public contact</x:v>
      </x:c>
      <x:c r="W60" s="71" t="str">
        <x:v>https://specialtyfoodsource.com/pages/contact</x:v>
      </x:c>
      <x:c r="X60" s="82" t="n">
        <x:v>46213</x:v>
      </x:c>
    </x:row>
    <x:row r="61">
      <x:c r="A61" s="59" t="n">
        <x:v>60</x:v>
      </x:c>
      <x:c r="B61" s="60" t="str">
        <x:v>Baldor Specialty Foods</x:v>
      </x:c>
      <x:c r="C61" s="60" t="str">
        <x:v>Specialty food importer / distributor</x:v>
      </x:c>
      <x:c r="D61" s="60" t="str">
        <x:v>United States</x:v>
      </x:c>
      <x:c r="E61" s="60" t="str">
        <x:v>Northeast and Mid-Atlantic USA</x:v>
      </x:c>
      <x:c r="F61" s="60" t="str">
        <x:v>Specialty foods, organics, fine products and foodservice distribution</x:v>
      </x:c>
      <x:c r="G61" s="60" t="str">
        <x:v>Medium</x:v>
      </x:c>
      <x:c r="H61" s="60" t="str">
        <x:v>C</x:v>
      </x:c>
      <x:c r="I61" s="78" t="n">
        <x:v>75</x:v>
      </x:c>
      <x:c r="J61" s="60" t="str">
        <x:v>Specialty grocery/pastry buyer</x:v>
      </x:c>
      <x:c r="K61" s="60" t="str">
        <x:v>Not publicly listed</x:v>
      </x:c>
      <x:c r="L61" s="60" t="str">
        <x:v>Help desk / contact form</x:v>
      </x:c>
      <x:c r="M61" s="60" t="str">
        <x:v>+1 718 860 9100; +1 443 733 3400; +1 617 889 0047</x:v>
      </x:c>
      <x:c r="N61" s="60" t="str">
        <x:v>https://help.baldorfood.com/hc/en-us/requests/new</x:v>
      </x:c>
      <x:c r="O61" s="60" t="str">
        <x:v>https://www.baldorfood.com/</x:v>
      </x:c>
      <x:c r="P61" s="60" t="str">
        <x:v>Use help desk/contact and request category buyer for pastry/baking or specialty grocery.</x:v>
      </x:c>
      <x:c r="Q61" s="60" t="str">
        <x:v>Large premium foodservice/specialty distributor; best for finished product or foodservice packs.</x:v>
      </x:c>
      <x:c r="R61" s="60" t="str">
        <x:v>Approach only with retail/foodservice-ready packaging and chef-focused story.</x:v>
      </x:c>
      <x:c r="S61" s="60" t="str">
        <x:v>5-50 kg equivalent; higher if listed.</x:v>
      </x:c>
      <x:c r="T61" s="60" t="str">
        <x:v>Distributor onboarding; not a priority for raw bulk speed.</x:v>
      </x:c>
      <x:c r="U61" s="60" t="str">
        <x:v>Slow</x:v>
      </x:c>
      <x:c r="V61" s="60" t="str">
        <x:v>A - official help/contact source</x:v>
      </x:c>
      <x:c r="W61" s="60" t="str">
        <x:v>https://help.baldorfood.com/hc/en-us/requests/new</x:v>
      </x:c>
      <x:c r="X61" s="84" t="n">
        <x:v>46213</x:v>
      </x:c>
    </x:row>
  </x:sheetData>
  <x:conditionalFormatting sqref="G2:G61">
    <x:cfRule type="expression" dxfId="0" priority="1">
      <x:formula>G2="Very High"</x:formula>
    </x:cfRule>
  </x:conditionalFormatting>
  <x:conditionalFormatting sqref="H2:H61">
    <x:cfRule type="expression" dxfId="1" priority="2">
      <x:formula>H2="A"</x:formula>
    </x:cfRule>
    <x:cfRule type="expression" dxfId="2" priority="3">
      <x:formula>H2="B"</x:formula>
    </x:cfRule>
    <x:cfRule type="expression" dxfId="3" priority="4">
      <x:formula>H2="C"</x:formula>
    </x:cfRule>
  </x:conditionalFormatting>
  <x:conditionalFormatting sqref="I2:I61">
    <x:cfRule type="dataBar" priority="5">
      <x:dataBar>
        <x:cfvo type="min"/>
        <x:cfvo type="max"/>
        <x:color rgb="FFD6A329"/>
      </x:dataBar>
      <x:extLst>
        <x:ext xmlns:x14="http://schemas.microsoft.com/office/spreadsheetml/2009/9/main" uri="{B025F937-C7B1-47D3-B67F-A62EFF666E3E}">
          <x14:id>{40CFBEF5-2C6B-6A15-E78B-E9249646AA21}</x14:id>
        </x:ext>
      </x:extLst>
    </x:cfRule>
  </x:conditionalFormatting>
  <x:conditionalFormatting sqref="U2:U61">
    <x:cfRule type="expression" dxfId="4" priority="6">
      <x:formula>U2="Fast"</x:formula>
    </x:cfRule>
    <x:cfRule type="expression" dxfId="5" priority="7">
      <x:formula>U2="Slow"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afe2fa058c4cf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40CFBEF5-2C6B-6A15-E78B-E9249646AA21}">
            <x14:dataBar gradient="1">
              <x14:cfvo type="min"/>
              <x14:cfvo type="max"/>
              <x14:fillColor rgb="FFD6A329"/>
            </x14:dataBar>
          </x14:cfRule>
          <xm:sqref>I2:I61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28" hidden="0" customWidth="1"/>
    <x:col min="4" max="4" width="22" hidden="0" customWidth="1"/>
    <x:col min="5" max="5" width="14" hidden="0" customWidth="1"/>
    <x:col min="6" max="6" width="10" hidden="0" customWidth="1"/>
    <x:col min="7" max="7" width="14" hidden="0" customWidth="1"/>
    <x:col min="8" max="8" width="32" hidden="0" customWidth="1"/>
    <x:col min="9" max="9" width="38" hidden="0" customWidth="1"/>
    <x:col min="10" max="10" width="27" hidden="0" customWidth="1"/>
    <x:col min="11" max="11" width="42" hidden="0" customWidth="1"/>
    <x:col min="12" max="12" width="58" hidden="0" customWidth="1"/>
  </x:cols>
  <x:sheetData>
    <x:row r="1" ht="38" customHeight="1">
      <x:c r="A1" s="98" t="str">
        <x:v>Rank</x:v>
      </x:c>
      <x:c r="B1" s="99" t="str">
        <x:v>Company</x:v>
      </x:c>
      <x:c r="C1" s="99" t="str">
        <x:v>Buyer Type</x:v>
      </x:c>
      <x:c r="D1" s="99" t="str">
        <x:v>HQ / Country</x:v>
      </x:c>
      <x:c r="E1" s="99" t="str">
        <x:v>Buyer Fit</x:v>
      </x:c>
      <x:c r="F1" s="99" t="str">
        <x:v>Priority</x:v>
      </x:c>
      <x:c r="G1" s="99" t="str">
        <x:v>Potential kg</x:v>
      </x:c>
      <x:c r="H1" s="99" t="str">
        <x:v>Best Buyer Role</x:v>
      </x:c>
      <x:c r="I1" s="99" t="str">
        <x:v>Public Email</x:v>
      </x:c>
      <x:c r="J1" s="99" t="str">
        <x:v>Public Phone</x:v>
      </x:c>
      <x:c r="K1" s="99" t="str">
        <x:v>Contact URL</x:v>
      </x:c>
      <x:c r="L1" s="100" t="str">
        <x:v>First Move</x:v>
      </x:c>
    </x:row>
    <x:row r="2">
      <x:c r="A2" s="101" t="n">
        <x:v>1</x:v>
      </x:c>
      <x:c r="B2" s="19" t="str">
        <x:v>Aust &amp; Hachmann</x:v>
      </x:c>
      <x:c r="C2" s="19" t="str">
        <x:v>Vanilla importer / specialist</x:v>
      </x:c>
      <x:c r="D2" s="19" t="str">
        <x:v>Germany / Canada</x:v>
      </x:c>
      <x:c r="E2" s="19" t="str">
        <x:v>Very High</x:v>
      </x:c>
      <x:c r="F2" s="19" t="str">
        <x:v>A</x:v>
      </x:c>
      <x:c r="G2" s="108" t="n">
        <x:v>400</x:v>
      </x:c>
      <x:c r="H2" s="19" t="str">
        <x:v>Vanilla purchasing / trading desk</x:v>
      </x:c>
      <x:c r="I2" s="19" t="str">
        <x:v>info@austhachmann.com</x:v>
      </x:c>
      <x:c r="J2" s="19" t="str">
        <x:v>+49 (0)40 311670-0</x:v>
      </x:c>
      <x:c r="K2" s="19" t="str">
        <x:v>https://austhachmann.de/</x:v>
      </x:c>
      <x:c r="L2" s="26" t="str">
        <x:v>Send commercial supplier intro with photos, grade split, moisture, vanillin/sensory data, COA and immediately available kilograms.</x:v>
      </x:c>
    </x:row>
    <x:row r="3">
      <x:c r="A3" s="101" t="n">
        <x:v>2</x:v>
      </x:c>
      <x:c r="B3" s="19" t="str">
        <x:v>De Monchy Natural Products</x:v>
      </x:c>
      <x:c r="C3" s="19" t="str">
        <x:v>Natural ingredients importer / vanilla supplier</x:v>
      </x:c>
      <x:c r="D3" s="19" t="str">
        <x:v>Netherlands / United States</x:v>
      </x:c>
      <x:c r="E3" s="19" t="str">
        <x:v>Very High</x:v>
      </x:c>
      <x:c r="F3" s="19" t="str">
        <x:v>A</x:v>
      </x:c>
      <x:c r="G3" s="108" t="n">
        <x:v>500</x:v>
      </x:c>
      <x:c r="H3" s="19" t="str">
        <x:v>Vanilla category manager / procurement</x:v>
      </x:c>
      <x:c r="I3" s="19" t="str">
        <x:v>info@monchy.com</x:v>
      </x:c>
      <x:c r="J3" s="19" t="str">
        <x:v>+31 (0)10 303 37 30; +1 215 806 1124</x:v>
      </x:c>
      <x:c r="K3" s="19" t="str">
        <x:v>https://monchynaturalproducts.com/contact/</x:v>
      </x:c>
      <x:c r="L3" s="26" t="str">
        <x:v>Pitch Ecuador vanilla as a differentiated origin with scalable inventory and sample lots ready.</x:v>
      </x:c>
    </x:row>
    <x:row r="4">
      <x:c r="A4" s="101" t="n">
        <x:v>3</x:v>
      </x:c>
      <x:c r="B4" s="19" t="str">
        <x:v>Eurovanille</x:v>
      </x:c>
      <x:c r="C4" s="19" t="str">
        <x:v>Vanilla importer / processor / distributor</x:v>
      </x:c>
      <x:c r="D4" s="19" t="str">
        <x:v>France</x:v>
      </x:c>
      <x:c r="E4" s="19" t="str">
        <x:v>Very High</x:v>
      </x:c>
      <x:c r="F4" s="19" t="str">
        <x:v>A</x:v>
      </x:c>
      <x:c r="G4" s="108" t="n">
        <x:v>400</x:v>
      </x:c>
      <x:c r="H4" s="19" t="str">
        <x:v>Purchasing / origin sourcing</x:v>
      </x:c>
      <x:c r="I4" s="19" t="str">
        <x:v>info@eurovanille.com</x:v>
      </x:c>
      <x:c r="J4" s="19" t="str">
        <x:v>+33 3 21 90 00 10</x:v>
      </x:c>
      <x:c r="K4" s="19" t="str">
        <x:v>https://www.eurovanille.com/en/contact/</x:v>
      </x:c>
      <x:c r="L4" s="26" t="str">
        <x:v>Lead with batch specs, photos, sensory notes and offer to ship 1 kg technical sample immediately.</x:v>
      </x:c>
    </x:row>
    <x:row r="5">
      <x:c r="A5" s="101" t="n">
        <x:v>4</x:v>
      </x:c>
      <x:c r="B5" s="19" t="str">
        <x:v>Natural Vanilla Group</x:v>
      </x:c>
      <x:c r="C5" s="19" t="str">
        <x:v>Vanilla wholesaler / importer / distributor</x:v>
      </x:c>
      <x:c r="D5" s="19" t="str">
        <x:v>United States / United Kingdom / Europe</x:v>
      </x:c>
      <x:c r="E5" s="19" t="str">
        <x:v>Very High</x:v>
      </x:c>
      <x:c r="F5" s="19" t="str">
        <x:v>A</x:v>
      </x:c>
      <x:c r="G5" s="108" t="n">
        <x:v>250</x:v>
      </x:c>
      <x:c r="H5" s="19" t="str">
        <x:v>Operations / wholesale purchasing</x:v>
      </x:c>
      <x:c r="I5" s="19" t="str">
        <x:v>enquiry@naturalvanilla.us; enquiry@naturalvanilla.co.uk</x:v>
      </x:c>
      <x:c r="J5" s="19" t="str">
        <x:v>+1 917 764 4118; +44 20 3996 0893</x:v>
      </x:c>
      <x:c r="K5" s="19" t="str">
        <x:v>https://naturalvanilla.us/contact/</x:v>
      </x:c>
      <x:c r="L5" s="26" t="str">
        <x:v>Use a direct wholesale message: available 2,000 kg in Ecuador, premium quality, samples ready, seeking regional distributor.</x:v>
      </x:c>
    </x:row>
    <x:row r="6">
      <x:c r="A6" s="101" t="n">
        <x:v>5</x:v>
      </x:c>
      <x:c r="B6" s="19" t="str">
        <x:v>Slofoodgroup</x:v>
      </x:c>
      <x:c r="C6" s="19" t="str">
        <x:v>Premium vanilla importer / gourmet distributor</x:v>
      </x:c>
      <x:c r="D6" s="19" t="str">
        <x:v>United States</x:v>
      </x:c>
      <x:c r="E6" s="19" t="str">
        <x:v>Very High</x:v>
      </x:c>
      <x:c r="F6" s="19" t="str">
        <x:v>A</x:v>
      </x:c>
      <x:c r="G6" s="108" t="n">
        <x:v>150</x:v>
      </x:c>
      <x:c r="H6" s="19" t="str">
        <x:v>Product sourcing / wholesale purchasing</x:v>
      </x:c>
      <x:c r="I6" s="19" t="str">
        <x:v>help@slofoodgroup.com; products@slofoodgroup.com</x:v>
      </x:c>
      <x:c r="J6" s="19" t="str">
        <x:v>+1 941 953 1493; +1 888 992 0141</x:v>
      </x:c>
      <x:c r="K6" s="19" t="str">
        <x:v>https://www.slofoodgroup.com/pages/contact</x:v>
      </x:c>
      <x:c r="L6" s="26" t="str">
        <x:v>Pitch a limited Ecuador-origin SKU or wholesale lot with story, photos and sensory profile.</x:v>
      </x:c>
    </x:row>
    <x:row r="7">
      <x:c r="A7" s="101" t="n">
        <x:v>6</x:v>
      </x:c>
      <x:c r="B7" s="19" t="str">
        <x:v>Vanillas of the World</x:v>
      </x:c>
      <x:c r="C7" s="19" t="str">
        <x:v>Vanilla wholesaler / importer</x:v>
      </x:c>
      <x:c r="D7" s="19" t="str">
        <x:v>United States</x:v>
      </x:c>
      <x:c r="E7" s="19" t="str">
        <x:v>Very High</x:v>
      </x:c>
      <x:c r="F7" s="19" t="str">
        <x:v>A</x:v>
      </x:c>
      <x:c r="G7" s="108" t="n">
        <x:v>150</x:v>
      </x:c>
      <x:c r="H7" s="19" t="str">
        <x:v>Wholesale buyer / owner</x:v>
      </x:c>
      <x:c r="I7" s="19" t="str">
        <x:v>ted@vanillasoftheworld.com</x:v>
      </x:c>
      <x:c r="J7" s="19" t="str">
        <x:v>+1 208 832 8030</x:v>
      </x:c>
      <x:c r="K7" s="19" t="str">
        <x:v>https://vanillasoftheworld.com/pages/wholesale</x:v>
      </x:c>
      <x:c r="L7" s="26" t="str">
        <x:v>Send origin story, grade, length distribution, moisture, photos and 250 g sample offer.</x:v>
      </x:c>
    </x:row>
    <x:row r="8">
      <x:c r="A8" s="101" t="n">
        <x:v>7</x:v>
      </x:c>
      <x:c r="B8" s="19" t="str">
        <x:v>Vanilla Bean Kings</x:v>
      </x:c>
      <x:c r="C8" s="19" t="str">
        <x:v>Vanilla wholesaler / online distributor</x:v>
      </x:c>
      <x:c r="D8" s="19" t="str">
        <x:v>United States</x:v>
      </x:c>
      <x:c r="E8" s="19" t="str">
        <x:v>Very High</x:v>
      </x:c>
      <x:c r="F8" s="19" t="str">
        <x:v>A</x:v>
      </x:c>
      <x:c r="G8" s="108" t="n">
        <x:v>150</x:v>
      </x:c>
      <x:c r="H8" s="19" t="str">
        <x:v>Wholesale purchasing / sourcing</x:v>
      </x:c>
      <x:c r="I8" s="19" t="str">
        <x:v>sales@vanillabeankings.com; support@vanillabeankings.com</x:v>
      </x:c>
      <x:c r="J8" s="19" t="str">
        <x:v>+1 605 368 1211</x:v>
      </x:c>
      <x:c r="K8" s="19" t="str">
        <x:v>https://www.vanillabeankings.com/pages/contact-us</x:v>
      </x:c>
      <x:c r="L8" s="26" t="str">
        <x:v>Offer a fast sample and a clean wholesale lot with strong retail story.</x:v>
      </x:c>
    </x:row>
    <x:row r="9">
      <x:c r="A9" s="101" t="n">
        <x:v>8</x:v>
      </x:c>
      <x:c r="B9" s="19" t="str">
        <x:v>Beanilla</x:v>
      </x:c>
      <x:c r="C9" s="19" t="str">
        <x:v>Vanilla importer / gourmet distributor</x:v>
      </x:c>
      <x:c r="D9" s="19" t="str">
        <x:v>United States</x:v>
      </x:c>
      <x:c r="E9" s="19" t="str">
        <x:v>Very High</x:v>
      </x:c>
      <x:c r="F9" s="19" t="str">
        <x:v>A</x:v>
      </x:c>
      <x:c r="G9" s="108" t="n">
        <x:v>150</x:v>
      </x:c>
      <x:c r="H9" s="19" t="str">
        <x:v>Wholesale purchasing / product manager</x:v>
      </x:c>
      <x:c r="I9" s="19" t="str">
        <x:v>Contact form only</x:v>
      </x:c>
      <x:c r="J9" s="19" t="str">
        <x:v>+1 888 261 3384</x:v>
      </x:c>
      <x:c r="K9" s="19" t="str">
        <x:v>https://www.beanilla.com/wholesale-vanilla</x:v>
      </x:c>
      <x:c r="L9" s="26" t="str">
        <x:v>Pitch Ecuador as a new origin with limited availability and ready-to-ship wholesale lots.</x:v>
      </x:c>
    </x:row>
    <x:row r="10">
      <x:c r="A10" s="101" t="n">
        <x:v>9</x:v>
      </x:c>
      <x:c r="B10" s="19" t="str">
        <x:v>Madagascar Vanilla Company</x:v>
      </x:c>
      <x:c r="C10" s="19" t="str">
        <x:v>Vanilla wholesaler / distributor</x:v>
      </x:c>
      <x:c r="D10" s="19" t="str">
        <x:v>Madagascar / United States / Japan</x:v>
      </x:c>
      <x:c r="E10" s="19" t="str">
        <x:v>High</x:v>
      </x:c>
      <x:c r="F10" s="19" t="str">
        <x:v>A</x:v>
      </x:c>
      <x:c r="G10" s="108" t="n">
        <x:v>150</x:v>
      </x:c>
      <x:c r="H10" s="19" t="str">
        <x:v>Wholesale buyer / distributor relationship</x:v>
      </x:c>
      <x:c r="I10" s="19" t="str">
        <x:v>Contact form only</x:v>
      </x:c>
      <x:c r="J10" s="19" t="str">
        <x:v>+1 484 320 7947; +261 32 80 406 67; +81 80 4322 2139</x:v>
      </x:c>
      <x:c r="K10" s="19" t="str">
        <x:v>https://www.madagascarvanillacompany.com/wholesale/</x:v>
      </x:c>
      <x:c r="L10" s="26" t="str">
        <x:v>Ask if they want an off-origin premium line or brokered lot for buyers requesting alternatives.</x:v>
      </x:c>
    </x:row>
    <x:row r="11">
      <x:c r="A11" s="101" t="n">
        <x:v>10</x:v>
      </x:c>
      <x:c r="B11" s="19" t="str">
        <x:v>Amadeus Vanilla Beans</x:v>
      </x:c>
      <x:c r="C11" s="19" t="str">
        <x:v>Vanilla importer / bulk seller</x:v>
      </x:c>
      <x:c r="D11" s="19" t="str">
        <x:v>United States</x:v>
      </x:c>
      <x:c r="E11" s="19" t="str">
        <x:v>High</x:v>
      </x:c>
      <x:c r="F11" s="19" t="str">
        <x:v>A</x:v>
      </x:c>
      <x:c r="G11" s="108" t="n">
        <x:v>150</x:v>
      </x:c>
      <x:c r="H11" s="19" t="str">
        <x:v>Bulk orders / sourcing</x:v>
      </x:c>
      <x:c r="I11" s="19" t="str">
        <x:v>Contact form only</x:v>
      </x:c>
      <x:c r="J11" s="19" t="str">
        <x:v>Contact form only</x:v>
      </x:c>
      <x:c r="K11" s="19" t="str">
        <x:v>https://amadeusvanillabeans.com/large-orders/</x:v>
      </x:c>
      <x:c r="L11" s="26" t="str">
        <x:v>Offer a priced 25-100 kg trial with photos and specs; ask if they buy direct from origin.</x:v>
      </x:c>
    </x:row>
    <x:row r="12">
      <x:c r="A12" s="101" t="n">
        <x:v>11</x:v>
      </x:c>
      <x:c r="B12" s="19" t="str">
        <x:v>VanillaGoods</x:v>
      </x:c>
      <x:c r="C12" s="19" t="str">
        <x:v>Vanilla distributor / online wholesaler</x:v>
      </x:c>
      <x:c r="D12" s="19" t="str">
        <x:v>United States</x:v>
      </x:c>
      <x:c r="E12" s="19" t="str">
        <x:v>High</x:v>
      </x:c>
      <x:c r="F12" s="19" t="str">
        <x:v>A</x:v>
      </x:c>
      <x:c r="G12" s="108" t="n">
        <x:v>100</x:v>
      </x:c>
      <x:c r="H12" s="19" t="str">
        <x:v>Wholesale / reseller sourcing</x:v>
      </x:c>
      <x:c r="I12" s="19" t="str">
        <x:v>help@vanillagoods.com</x:v>
      </x:c>
      <x:c r="J12" s="19" t="str">
        <x:v>+1 888 888 1493</x:v>
      </x:c>
      <x:c r="K12" s="19" t="str">
        <x:v>https://vanillagoods.com/pages/vanillagoods-contact</x:v>
      </x:c>
      <x:c r="L12" s="26" t="str">
        <x:v>Pitch sample kit and small wholesale lot with clear price break.</x:v>
      </x:c>
    </x:row>
    <x:row r="13">
      <x:c r="A13" s="101" t="n">
        <x:v>12</x:v>
      </x:c>
      <x:c r="B13" s="19" t="str">
        <x:v>Native Vanilla</x:v>
      </x:c>
      <x:c r="C13" s="19" t="str">
        <x:v>Vanilla brand / importer / distributor</x:v>
      </x:c>
      <x:c r="D13" s="19" t="str">
        <x:v>United States</x:v>
      </x:c>
      <x:c r="E13" s="19" t="str">
        <x:v>High</x:v>
      </x:c>
      <x:c r="F13" s="19" t="str">
        <x:v>A</x:v>
      </x:c>
      <x:c r="G13" s="108" t="n">
        <x:v>100</x:v>
      </x:c>
      <x:c r="H13" s="19" t="str">
        <x:v>Sourcing / purchasing</x:v>
      </x:c>
      <x:c r="I13" s="19" t="str">
        <x:v>info@nativevanilla.com</x:v>
      </x:c>
      <x:c r="J13" s="19" t="str">
        <x:v>+1 256 826 4552</x:v>
      </x:c>
      <x:c r="K13" s="19" t="str">
        <x:v>https://nativevanilla.com/pages/contact</x:v>
      </x:c>
      <x:c r="L13" s="26" t="str">
        <x:v>Offer a small Ecuador-origin lot and highlight consistency, moisture and story.</x:v>
      </x:c>
    </x:row>
    <x:row r="14">
      <x:c r="A14" s="101" t="n">
        <x:v>13</x:v>
      </x:c>
      <x:c r="B14" s="19" t="str">
        <x:v>Singing Dog Vanilla</x:v>
      </x:c>
      <x:c r="C14" s="19" t="str">
        <x:v>Organic vanilla importer / brand / distributor</x:v>
      </x:c>
      <x:c r="D14" s="19" t="str">
        <x:v>United States</x:v>
      </x:c>
      <x:c r="E14" s="19" t="str">
        <x:v>High</x:v>
      </x:c>
      <x:c r="F14" s="19" t="str">
        <x:v>A</x:v>
      </x:c>
      <x:c r="G14" s="108" t="n">
        <x:v>150</x:v>
      </x:c>
      <x:c r="H14" s="19" t="str">
        <x:v>Sourcing / purchasing</x:v>
      </x:c>
      <x:c r="I14" s="19" t="str">
        <x:v>info@singingdogvanilla.com</x:v>
      </x:c>
      <x:c r="J14" s="19" t="str">
        <x:v>+1 888 343 0002</x:v>
      </x:c>
      <x:c r="K14" s="19" t="str">
        <x:v>https://www.singingdogvanilla.com/pages/contact-us</x:v>
      </x:c>
      <x:c r="L14" s="26" t="str">
        <x:v>Lead with certifications, traceability and farmer story. Offer sample and COA.</x:v>
      </x:c>
    </x:row>
    <x:row r="15">
      <x:c r="A15" s="101" t="n">
        <x:v>14</x:v>
      </x:c>
      <x:c r="B15" s="19" t="str">
        <x:v>Heilala Vanilla</x:v>
      </x:c>
      <x:c r="C15" s="19" t="str">
        <x:v>Premium vanilla brand / distributor</x:v>
      </x:c>
      <x:c r="D15" s="19" t="str">
        <x:v>New Zealand</x:v>
      </x:c>
      <x:c r="E15" s="19" t="str">
        <x:v>High</x:v>
      </x:c>
      <x:c r="F15" s="19" t="str">
        <x:v>A</x:v>
      </x:c>
      <x:c r="G15" s="108" t="n">
        <x:v>100</x:v>
      </x:c>
      <x:c r="H15" s="19" t="str">
        <x:v>Supply chain / sourcing</x:v>
      </x:c>
      <x:c r="I15" s="19" t="str">
        <x:v>hello@heilalavanilla.com</x:v>
      </x:c>
      <x:c r="J15" s="19" t="str">
        <x:v>+64 7 574 3070</x:v>
      </x:c>
      <x:c r="K15" s="19" t="str">
        <x:v>https://www.heilalavanilla.com/pages/contact-us</x:v>
      </x:c>
      <x:c r="L15" s="26" t="str">
        <x:v>Pitch Ecuador-origin limited edition or backup supply program.</x:v>
      </x:c>
    </x:row>
    <x:row r="16">
      <x:c r="A16" s="101" t="n">
        <x:v>15</x:v>
      </x:c>
      <x:c r="B16" s="19" t="str">
        <x:v>Vanilla Food Company</x:v>
      </x:c>
      <x:c r="C16" s="19" t="str">
        <x:v>Specialty baking/vanilla distributor</x:v>
      </x:c>
      <x:c r="D16" s="19" t="str">
        <x:v>Canada</x:v>
      </x:c>
      <x:c r="E16" s="19" t="str">
        <x:v>High</x:v>
      </x:c>
      <x:c r="F16" s="19" t="str">
        <x:v>A</x:v>
      </x:c>
      <x:c r="G16" s="108" t="n">
        <x:v>75</x:v>
      </x:c>
      <x:c r="H16" s="19" t="str">
        <x:v>Purchasing / product manager</x:v>
      </x:c>
      <x:c r="I16" s="19" t="str">
        <x:v>Contact form only</x:v>
      </x:c>
      <x:c r="J16" s="19" t="str">
        <x:v>+1 877 207 3828; +1 905 604 4202</x:v>
      </x:c>
      <x:c r="K16" s="19" t="str">
        <x:v>https://vanillafoodcompany.ca/contact-us/</x:v>
      </x:c>
      <x:c r="L16" s="26" t="str">
        <x:v>Pitch a limited Ecuador-origin premium lot and wholesale packaging options.</x:v>
      </x:c>
    </x:row>
    <x:row r="17">
      <x:c r="A17" s="101" t="n">
        <x:v>16</x:v>
      </x:c>
      <x:c r="B17" s="19" t="str">
        <x:v>MUST Vanilla Gourmet</x:v>
      </x:c>
      <x:c r="C17" s="19" t="str">
        <x:v>Vanilla wholesaler / industrial supplier</x:v>
      </x:c>
      <x:c r="D17" s="19" t="str">
        <x:v>France / Madagascar-linked</x:v>
      </x:c>
      <x:c r="E17" s="19" t="str">
        <x:v>High</x:v>
      </x:c>
      <x:c r="F17" s="19" t="str">
        <x:v>A</x:v>
      </x:c>
      <x:c r="G17" s="108" t="n">
        <x:v>150</x:v>
      </x:c>
      <x:c r="H17" s="19" t="str">
        <x:v>Bulk vanilla purchasing / owner</x:v>
      </x:c>
      <x:c r="I17" s="19" t="str">
        <x:v>Contact form only</x:v>
      </x:c>
      <x:c r="J17" s="19" t="str">
        <x:v>Contact form only</x:v>
      </x:c>
      <x:c r="K17" s="19" t="str">
        <x:v>https://www.mustvanillagourmet.com/bulk-vanilla-extract-bulk-vanilla-beans-wholesale-vanilla</x:v>
      </x:c>
      <x:c r="L17" s="26" t="str">
        <x:v>Offer Ecuador origin as diversification; include technical specs and photos.</x:v>
      </x:c>
    </x:row>
    <x:row r="18">
      <x:c r="A18" s="101" t="n">
        <x:v>17</x:v>
      </x:c>
      <x:c r="B18" s="19" t="str">
        <x:v>Vanille B.V.</x:v>
      </x:c>
      <x:c r="C18" s="19" t="str">
        <x:v>Vanilla importer / specialist distributor</x:v>
      </x:c>
      <x:c r="D18" s="19" t="str">
        <x:v>Netherlands</x:v>
      </x:c>
      <x:c r="E18" s="19" t="str">
        <x:v>High</x:v>
      </x:c>
      <x:c r="F18" s="19" t="str">
        <x:v>A</x:v>
      </x:c>
      <x:c r="G18" s="108" t="n">
        <x:v>150</x:v>
      </x:c>
      <x:c r="H18" s="19" t="str">
        <x:v>Purchasing / managing director</x:v>
      </x:c>
      <x:c r="I18" s="19" t="str">
        <x:v>info@vanille.nl</x:v>
      </x:c>
      <x:c r="J18" s="19" t="str">
        <x:v>+31 20 261 9190</x:v>
      </x:c>
      <x:c r="K18" s="19" t="str">
        <x:v>https://www.vanille.nl/contact/</x:v>
      </x:c>
      <x:c r="L18" s="26" t="str">
        <x:v>Send EU-ready sample offer with CIF Rotterdam pricing.</x:v>
      </x:c>
    </x:row>
    <x:row r="19">
      <x:c r="A19" s="101" t="n">
        <x:v>18</x:v>
      </x:c>
      <x:c r="B19" s="19" t="str">
        <x:v>Thiercelin 1809</x:v>
      </x:c>
      <x:c r="C19" s="19" t="str">
        <x:v>Premium spice importer / distributor</x:v>
      </x:c>
      <x:c r="D19" s="19" t="str">
        <x:v>France / Spain</x:v>
      </x:c>
      <x:c r="E19" s="19" t="str">
        <x:v>High</x:v>
      </x:c>
      <x:c r="F19" s="19" t="str">
        <x:v>A</x:v>
      </x:c>
      <x:c r="G19" s="108" t="n">
        <x:v>100</x:v>
      </x:c>
      <x:c r="H19" s="19" t="str">
        <x:v>Purchasing / import director</x:v>
      </x:c>
      <x:c r="I19" s="19" t="str">
        <x:v>order@thiercelin.com; contact@thiercelin.com</x:v>
      </x:c>
      <x:c r="J19" s="19" t="str">
        <x:v>+33 (0)9 74 48 98 98</x:v>
      </x:c>
      <x:c r="K19" s="19" t="str">
        <x:v>https://www.thiercelin1809.com/en_GB/contact-us</x:v>
      </x:c>
      <x:c r="L19" s="26" t="str">
        <x:v>Pitch Ecuador vanilla for premium European foodservice/retail distribution.</x:v>
      </x:c>
    </x:row>
    <x:row r="20">
      <x:c r="A20" s="101" t="n">
        <x:v>19</x:v>
      </x:c>
      <x:c r="B20" s="19" t="str">
        <x:v>Global Resources Direct</x:v>
      </x:c>
      <x:c r="C20" s="19" t="str">
        <x:v>Food ingredient importer / distributor</x:v>
      </x:c>
      <x:c r="D20" s="19" t="str">
        <x:v>United States</x:v>
      </x:c>
      <x:c r="E20" s="19" t="str">
        <x:v>High</x:v>
      </x:c>
      <x:c r="F20" s="19" t="str">
        <x:v>A</x:v>
      </x:c>
      <x:c r="G20" s="108" t="n">
        <x:v>250</x:v>
      </x:c>
      <x:c r="H20" s="19" t="str">
        <x:v>Ingredient sourcing / procurement</x:v>
      </x:c>
      <x:c r="I20" s="19" t="str">
        <x:v>Contact form only</x:v>
      </x:c>
      <x:c r="J20" s="19" t="str">
        <x:v>+1 773 636 5974</x:v>
      </x:c>
      <x:c r="K20" s="19" t="str">
        <x:v>https://www.globalresourcesdirect.com/</x:v>
      </x:c>
      <x:c r="L20" s="26" t="str">
        <x:v>Pitch bulk Ecuador vanilla with a distributor margin and quick sample pack.</x:v>
      </x:c>
    </x:row>
    <x:row r="21">
      <x:c r="A21" s="102" t="n">
        <x:v>20</x:v>
      </x:c>
      <x:c r="B21" s="28" t="str">
        <x:v>Cambridge Commodities</x:v>
      </x:c>
      <x:c r="C21" s="28" t="str">
        <x:v>Ingredient importer / distributor</x:v>
      </x:c>
      <x:c r="D21" s="28" t="str">
        <x:v>United Kingdom / United States</x:v>
      </x:c>
      <x:c r="E21" s="28" t="str">
        <x:v>High</x:v>
      </x:c>
      <x:c r="F21" s="28" t="str">
        <x:v>A</x:v>
      </x:c>
      <x:c r="G21" s="109" t="n">
        <x:v>250</x:v>
      </x:c>
      <x:c r="H21" s="28" t="str">
        <x:v>Supplier onboarding / ingredients buyer</x:v>
      </x:c>
      <x:c r="I21" s="28" t="str">
        <x:v>enquiries@cambridgecommodities.com</x:v>
      </x:c>
      <x:c r="J21" s="28" t="str">
        <x:v>+1 530 273 3663</x:v>
      </x:c>
      <x:c r="K21" s="28" t="str">
        <x:v>https://us.cambridgecommodities.com/become-a-supplier.htm</x:v>
      </x:c>
      <x:c r="L21" s="30" t="str">
        <x:v>Submit technical packet and ask for evaluation against vanilla bean/powder portfolio.</x:v>
      </x:c>
    </x:row>
  </x:sheetData>
  <x:pageMargins left="0.7" right="0.7" top="0.75" bottom="0.75" header="0.3" footer="0.3"/>
  <x:tableParts count="1">
    <x:tablePart xmlns:r="http://schemas.openxmlformats.org/officeDocument/2006/relationships" r:id="R3e95144c224249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  <x:col min="3" max="3" width="45" hidden="0" customWidth="1"/>
    <x:col min="4" max="4" width="15" hidden="0" customWidth="1"/>
  </x:cols>
  <x:sheetData>
    <x:row r="1" ht="34" customHeight="1">
      <x:c r="A1" s="118" t="str">
        <x:v>Outreach Templates for Vanilla Importers &amp; Distributors</x:v>
      </x:c>
      <x:c r="B1" s="23"/>
      <x:c r="C1" s="23"/>
      <x:c r="D1" s="24"/>
    </x:row>
    <x:row r="2">
      <x:c r="A2" s="25" t="str">
        <x:v>Subject line 1</x:v>
      </x:c>
      <x:c r="B2" s="19" t="str">
        <x:v>Premium Ecuador vanilla - 2,000 kg available for qualified buyers</x:v>
      </x:c>
      <x:c r="C2" s="19" t="str">
        <x:v>Use for direct vanilla specialists.</x:v>
      </x:c>
      <x:c r="D2" s="26" t="str"/>
    </x:row>
    <x:row r="3">
      <x:c r="A3" s="25" t="str">
        <x:v>Subject line 2</x:v>
      </x:c>
      <x:c r="B3" s="19" t="str">
        <x:v>New origin vanilla supply: samples and COA ready</x:v>
      </x:c>
      <x:c r="C3" s="19" t="str">
        <x:v>Use for ingredient distributors and spice importers.</x:v>
      </x:c>
      <x:c r="D3" s="26" t="str"/>
    </x:row>
    <x:row r="4">
      <x:c r="A4" s="25" t="str">
        <x:v>Opening email</x:v>
      </x:c>
      <x:c r="B4" s="19" t="str">
        <x:v>Hello [Name], I am in Ecuador with 2,000 kg of high-quality vanilla available now. I am looking for a serious importer/distributor who can evaluate samples quickly and move commercial lots. Can you connect me with the person responsible for vanilla, natural ingredients or spice sourcing? I can send specs, photos, COA and samples immediately.</x:v>
      </x:c>
      <x:c r="C4" s="19" t="str">
        <x:v>Keep it direct; buyers care about supply, documents, price and reliability.</x:v>
      </x:c>
      <x:c r="D4" s="26" t="str"/>
    </x:row>
    <x:row r="5">
      <x:c r="A5" s="25" t="str">
        <x:v>Follow-up email</x:v>
      </x:c>
      <x:c r="B5" s="19" t="str">
        <x:v>Following up on my Ecuador vanilla supply note. I can offer a sample set this week and quote FOB Guayaquil or CIF to your preferred port. Please tell me your usual grade, moisture and volume requirements, and I will respond with a precise offer.</x:v>
      </x:c>
      <x:c r="C5" s="19" t="str">
        <x:v>Send 48 hours after first email.</x:v>
      </x:c>
      <x:c r="D5" s="26" t="str"/>
    </x:row>
    <x:row r="6">
      <x:c r="A6" s="25" t="str">
        <x:v>Phone opener</x:v>
      </x:c>
      <x:c r="B6" s="19" t="str">
        <x:v>I have premium vanilla in Ecuador and I am trying to reach the person who buys vanilla beans or natural ingredients. Who handles that category?</x:v>
      </x:c>
      <x:c r="C6" s="19" t="str">
        <x:v>Use before emailing whenever a phone number exists.</x:v>
      </x:c>
      <x:c r="D6" s="26" t="str"/>
    </x:row>
    <x:row r="7">
      <x:c r="A7" s="25" t="str">
        <x:v>WhatsApp opener</x:v>
      </x:c>
      <x:c r="B7" s="19" t="str">
        <x:v>Hello, I am Luke in Ecuador. I have 2,000 kg of high-quality vanilla available and can send specs/samples. Who handles vanilla sourcing for your company?</x:v>
      </x:c>
      <x:c r="C7" s="19" t="str">
        <x:v>Use with smaller vanilla specialists when WhatsApp is available.</x:v>
      </x:c>
      <x:c r="D7" s="26" t="str"/>
    </x:row>
    <x:row r="8">
      <x:c r="A8" s="25" t="str">
        <x:v>Do not say</x:v>
      </x:c>
      <x:c r="B8" s="19" t="str">
        <x:v>We are looking for exposure, partnership, collaboration or brand awareness.</x:v>
      </x:c>
      <x:c r="C8" s="19" t="str">
        <x:v>Say: available volume, grade, specs, price, samples, payment terms.</x:v>
      </x:c>
      <x:c r="D8" s="26" t="str"/>
    </x:row>
    <x:row r="9">
      <x:c r="A9" s="27" t="str">
        <x:v>Sample rule</x:v>
      </x:c>
      <x:c r="B9" s="28" t="str">
        <x:v>Do not send free large samples blindly. Send 50-100 g only after a named buyer confirms interest; 250 g to 1 kg only for serious Tier A targets.</x:v>
      </x:c>
      <x:c r="C9" s="28" t="str">
        <x:v>Track every sample in the CRM sheet.</x:v>
      </x:c>
      <x:c r="D9" s="30" t="str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0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22" hidden="0" customWidth="1"/>
    <x:col min="11" max="11" width="15" hidden="0" customWidth="1"/>
    <x:col min="12" max="12" width="12" hidden="0" customWidth="1"/>
    <x:col min="13" max="13" width="12" hidden="0" customWidth="1"/>
    <x:col min="14" max="14" width="12" hidden="0" customWidth="1"/>
    <x:col min="15" max="15" width="40" hidden="0" customWidth="1"/>
    <x:col min="16" max="16" width="46" hidden="0" customWidth="1"/>
  </x:cols>
  <x:sheetData>
    <x:row r="1" ht="34" customHeight="1">
      <x:c r="A1" s="54" t="str">
        <x:v>Rank</x:v>
      </x:c>
      <x:c r="B1" s="55" t="str">
        <x:v>Company</x:v>
      </x:c>
      <x:c r="C1" s="55" t="str">
        <x:v>Priority</x:v>
      </x:c>
      <x:c r="D1" s="55" t="str">
        <x:v>Owner</x:v>
      </x:c>
      <x:c r="E1" s="55" t="str">
        <x:v>Status</x:v>
      </x:c>
      <x:c r="F1" s="55" t="str">
        <x:v>Last Contact</x:v>
      </x:c>
      <x:c r="G1" s="55" t="str">
        <x:v>Next Follow-up</x:v>
      </x:c>
      <x:c r="H1" s="55" t="str">
        <x:v>Contacted?</x:v>
      </x:c>
      <x:c r="I1" s="55" t="str">
        <x:v>Sample Sent?</x:v>
      </x:c>
      <x:c r="J1" s="55" t="str">
        <x:v>Sample Result</x:v>
      </x:c>
      <x:c r="K1" s="55" t="str">
        <x:v>Quoted Price/kg</x:v>
      </x:c>
      <x:c r="L1" s="55" t="str">
        <x:v>Est. kg</x:v>
      </x:c>
      <x:c r="M1" s="55" t="str">
        <x:v>Probability</x:v>
      </x:c>
      <x:c r="N1" s="55" t="str">
        <x:v>Weighted kg</x:v>
      </x:c>
      <x:c r="O1" s="55" t="str">
        <x:v>Next Step</x:v>
      </x:c>
      <x:c r="P1" s="56" t="str">
        <x:v>Notes</x:v>
      </x:c>
    </x:row>
    <x:row r="2">
      <x:c r="A2" s="101" t="n">
        <x:v>1</x:v>
      </x:c>
      <x:c r="B2" s="19" t="str">
        <x:v>Aust &amp; Hachmann</x:v>
      </x:c>
      <x:c r="C2" s="19" t="str">
        <x:v>A</x:v>
      </x:c>
      <x:c r="D2" s="19" t="str"/>
      <x:c r="E2" s="19" t="str">
        <x:v>Not Started</x:v>
      </x:c>
      <x:c r="F2" s="120" t="str"/>
      <x:c r="G2" s="120" t="str"/>
      <x:c r="H2" s="19" t="str">
        <x:v>No</x:v>
      </x:c>
      <x:c r="I2" s="19" t="str">
        <x:v>No</x:v>
      </x:c>
      <x:c r="J2" s="19" t="str"/>
      <x:c r="K2" s="124" t="str"/>
      <x:c r="L2" s="108" t="n">
        <x:v>400</x:v>
      </x:c>
      <x:c r="M2" s="128" t="n">
        <x:v>0.1</x:v>
      </x:c>
      <x:c r="N2" s="108" t="n">
        <x:f>IFERROR(L2*M2,0)</x:f>
        <x:v>40</x:v>
      </x:c>
      <x:c r="O2" s="19" t="str"/>
      <x:c r="P2" s="26" t="str"/>
    </x:row>
    <x:row r="3">
      <x:c r="A3" s="101" t="n">
        <x:v>2</x:v>
      </x:c>
      <x:c r="B3" s="19" t="str">
        <x:v>De Monchy Natural Products</x:v>
      </x:c>
      <x:c r="C3" s="19" t="str">
        <x:v>A</x:v>
      </x:c>
      <x:c r="D3" s="19" t="str"/>
      <x:c r="E3" s="19" t="str">
        <x:v>Not Started</x:v>
      </x:c>
      <x:c r="F3" s="120" t="str"/>
      <x:c r="G3" s="120" t="str"/>
      <x:c r="H3" s="19" t="str">
        <x:v>No</x:v>
      </x:c>
      <x:c r="I3" s="19" t="str">
        <x:v>No</x:v>
      </x:c>
      <x:c r="J3" s="19" t="str"/>
      <x:c r="K3" s="124" t="str"/>
      <x:c r="L3" s="108" t="n">
        <x:v>500</x:v>
      </x:c>
      <x:c r="M3" s="128" t="n">
        <x:v>0.1</x:v>
      </x:c>
      <x:c r="N3" s="108" t="n">
        <x:f>IFERROR(L3*M3,0)</x:f>
        <x:v>50</x:v>
      </x:c>
      <x:c r="O3" s="19" t="str"/>
      <x:c r="P3" s="26" t="str"/>
    </x:row>
    <x:row r="4">
      <x:c r="A4" s="101" t="n">
        <x:v>3</x:v>
      </x:c>
      <x:c r="B4" s="19" t="str">
        <x:v>Eurovanille</x:v>
      </x:c>
      <x:c r="C4" s="19" t="str">
        <x:v>A</x:v>
      </x:c>
      <x:c r="D4" s="19" t="str"/>
      <x:c r="E4" s="19" t="str">
        <x:v>Not Started</x:v>
      </x:c>
      <x:c r="F4" s="120" t="str"/>
      <x:c r="G4" s="120" t="str"/>
      <x:c r="H4" s="19" t="str">
        <x:v>No</x:v>
      </x:c>
      <x:c r="I4" s="19" t="str">
        <x:v>No</x:v>
      </x:c>
      <x:c r="J4" s="19" t="str"/>
      <x:c r="K4" s="124" t="str"/>
      <x:c r="L4" s="108" t="n">
        <x:v>400</x:v>
      </x:c>
      <x:c r="M4" s="128" t="n">
        <x:v>0.1</x:v>
      </x:c>
      <x:c r="N4" s="108" t="n">
        <x:f>IFERROR(L4*M4,0)</x:f>
        <x:v>40</x:v>
      </x:c>
      <x:c r="O4" s="19" t="str"/>
      <x:c r="P4" s="26" t="str"/>
    </x:row>
    <x:row r="5">
      <x:c r="A5" s="101" t="n">
        <x:v>4</x:v>
      </x:c>
      <x:c r="B5" s="19" t="str">
        <x:v>Natural Vanilla Group</x:v>
      </x:c>
      <x:c r="C5" s="19" t="str">
        <x:v>A</x:v>
      </x:c>
      <x:c r="D5" s="19" t="str"/>
      <x:c r="E5" s="19" t="str">
        <x:v>Not Started</x:v>
      </x:c>
      <x:c r="F5" s="120" t="str"/>
      <x:c r="G5" s="120" t="str"/>
      <x:c r="H5" s="19" t="str">
        <x:v>No</x:v>
      </x:c>
      <x:c r="I5" s="19" t="str">
        <x:v>No</x:v>
      </x:c>
      <x:c r="J5" s="19" t="str"/>
      <x:c r="K5" s="124" t="str"/>
      <x:c r="L5" s="108" t="n">
        <x:v>250</x:v>
      </x:c>
      <x:c r="M5" s="128" t="n">
        <x:v>0.1</x:v>
      </x:c>
      <x:c r="N5" s="108" t="n">
        <x:f>IFERROR(L5*M5,0)</x:f>
        <x:v>25</x:v>
      </x:c>
      <x:c r="O5" s="19" t="str"/>
      <x:c r="P5" s="26" t="str"/>
    </x:row>
    <x:row r="6">
      <x:c r="A6" s="101" t="n">
        <x:v>5</x:v>
      </x:c>
      <x:c r="B6" s="19" t="str">
        <x:v>Slofoodgroup</x:v>
      </x:c>
      <x:c r="C6" s="19" t="str">
        <x:v>A</x:v>
      </x:c>
      <x:c r="D6" s="19" t="str"/>
      <x:c r="E6" s="19" t="str">
        <x:v>Not Started</x:v>
      </x:c>
      <x:c r="F6" s="120" t="str"/>
      <x:c r="G6" s="120" t="str"/>
      <x:c r="H6" s="19" t="str">
        <x:v>No</x:v>
      </x:c>
      <x:c r="I6" s="19" t="str">
        <x:v>No</x:v>
      </x:c>
      <x:c r="J6" s="19" t="str"/>
      <x:c r="K6" s="124" t="str"/>
      <x:c r="L6" s="108" t="n">
        <x:v>150</x:v>
      </x:c>
      <x:c r="M6" s="128" t="n">
        <x:v>0.1</x:v>
      </x:c>
      <x:c r="N6" s="108" t="n">
        <x:f>IFERROR(L6*M6,0)</x:f>
        <x:v>15</x:v>
      </x:c>
      <x:c r="O6" s="19" t="str"/>
      <x:c r="P6" s="26" t="str"/>
    </x:row>
    <x:row r="7">
      <x:c r="A7" s="101" t="n">
        <x:v>6</x:v>
      </x:c>
      <x:c r="B7" s="19" t="str">
        <x:v>Vanillas of the World</x:v>
      </x:c>
      <x:c r="C7" s="19" t="str">
        <x:v>A</x:v>
      </x:c>
      <x:c r="D7" s="19" t="str"/>
      <x:c r="E7" s="19" t="str">
        <x:v>Not Started</x:v>
      </x:c>
      <x:c r="F7" s="120" t="str"/>
      <x:c r="G7" s="120" t="str"/>
      <x:c r="H7" s="19" t="str">
        <x:v>No</x:v>
      </x:c>
      <x:c r="I7" s="19" t="str">
        <x:v>No</x:v>
      </x:c>
      <x:c r="J7" s="19" t="str"/>
      <x:c r="K7" s="124" t="str"/>
      <x:c r="L7" s="108" t="n">
        <x:v>150</x:v>
      </x:c>
      <x:c r="M7" s="128" t="n">
        <x:v>0.1</x:v>
      </x:c>
      <x:c r="N7" s="108" t="n">
        <x:f>IFERROR(L7*M7,0)</x:f>
        <x:v>15</x:v>
      </x:c>
      <x:c r="O7" s="19" t="str"/>
      <x:c r="P7" s="26" t="str"/>
    </x:row>
    <x:row r="8">
      <x:c r="A8" s="101" t="n">
        <x:v>7</x:v>
      </x:c>
      <x:c r="B8" s="19" t="str">
        <x:v>Vanilla Bean Kings</x:v>
      </x:c>
      <x:c r="C8" s="19" t="str">
        <x:v>A</x:v>
      </x:c>
      <x:c r="D8" s="19" t="str"/>
      <x:c r="E8" s="19" t="str">
        <x:v>Not Started</x:v>
      </x:c>
      <x:c r="F8" s="120" t="str"/>
      <x:c r="G8" s="120" t="str"/>
      <x:c r="H8" s="19" t="str">
        <x:v>No</x:v>
      </x:c>
      <x:c r="I8" s="19" t="str">
        <x:v>No</x:v>
      </x:c>
      <x:c r="J8" s="19" t="str"/>
      <x:c r="K8" s="124" t="str"/>
      <x:c r="L8" s="108" t="n">
        <x:v>150</x:v>
      </x:c>
      <x:c r="M8" s="128" t="n">
        <x:v>0.1</x:v>
      </x:c>
      <x:c r="N8" s="108" t="n">
        <x:f>IFERROR(L8*M8,0)</x:f>
        <x:v>15</x:v>
      </x:c>
      <x:c r="O8" s="19" t="str"/>
      <x:c r="P8" s="26" t="str"/>
    </x:row>
    <x:row r="9">
      <x:c r="A9" s="101" t="n">
        <x:v>8</x:v>
      </x:c>
      <x:c r="B9" s="19" t="str">
        <x:v>Beanilla</x:v>
      </x:c>
      <x:c r="C9" s="19" t="str">
        <x:v>A</x:v>
      </x:c>
      <x:c r="D9" s="19" t="str"/>
      <x:c r="E9" s="19" t="str">
        <x:v>Not Started</x:v>
      </x:c>
      <x:c r="F9" s="120" t="str"/>
      <x:c r="G9" s="120" t="str"/>
      <x:c r="H9" s="19" t="str">
        <x:v>No</x:v>
      </x:c>
      <x:c r="I9" s="19" t="str">
        <x:v>No</x:v>
      </x:c>
      <x:c r="J9" s="19" t="str"/>
      <x:c r="K9" s="124" t="str"/>
      <x:c r="L9" s="108" t="n">
        <x:v>150</x:v>
      </x:c>
      <x:c r="M9" s="128" t="n">
        <x:v>0.1</x:v>
      </x:c>
      <x:c r="N9" s="108" t="n">
        <x:f>IFERROR(L9*M9,0)</x:f>
        <x:v>15</x:v>
      </x:c>
      <x:c r="O9" s="19" t="str"/>
      <x:c r="P9" s="26" t="str"/>
    </x:row>
    <x:row r="10">
      <x:c r="A10" s="101" t="n">
        <x:v>9</x:v>
      </x:c>
      <x:c r="B10" s="19" t="str">
        <x:v>Madagascar Vanilla Company</x:v>
      </x:c>
      <x:c r="C10" s="19" t="str">
        <x:v>A</x:v>
      </x:c>
      <x:c r="D10" s="19" t="str"/>
      <x:c r="E10" s="19" t="str">
        <x:v>Not Started</x:v>
      </x:c>
      <x:c r="F10" s="120" t="str"/>
      <x:c r="G10" s="120" t="str"/>
      <x:c r="H10" s="19" t="str">
        <x:v>No</x:v>
      </x:c>
      <x:c r="I10" s="19" t="str">
        <x:v>No</x:v>
      </x:c>
      <x:c r="J10" s="19" t="str"/>
      <x:c r="K10" s="124" t="str"/>
      <x:c r="L10" s="108" t="n">
        <x:v>150</x:v>
      </x:c>
      <x:c r="M10" s="128" t="n">
        <x:v>0.1</x:v>
      </x:c>
      <x:c r="N10" s="108" t="n">
        <x:f>IFERROR(L10*M10,0)</x:f>
        <x:v>15</x:v>
      </x:c>
      <x:c r="O10" s="19" t="str"/>
      <x:c r="P10" s="26" t="str"/>
    </x:row>
    <x:row r="11">
      <x:c r="A11" s="101" t="n">
        <x:v>10</x:v>
      </x:c>
      <x:c r="B11" s="19" t="str">
        <x:v>Amadeus Vanilla Beans</x:v>
      </x:c>
      <x:c r="C11" s="19" t="str">
        <x:v>A</x:v>
      </x:c>
      <x:c r="D11" s="19" t="str"/>
      <x:c r="E11" s="19" t="str">
        <x:v>Not Started</x:v>
      </x:c>
      <x:c r="F11" s="120" t="str"/>
      <x:c r="G11" s="120" t="str"/>
      <x:c r="H11" s="19" t="str">
        <x:v>No</x:v>
      </x:c>
      <x:c r="I11" s="19" t="str">
        <x:v>No</x:v>
      </x:c>
      <x:c r="J11" s="19" t="str"/>
      <x:c r="K11" s="124" t="str"/>
      <x:c r="L11" s="108" t="n">
        <x:v>150</x:v>
      </x:c>
      <x:c r="M11" s="128" t="n">
        <x:v>0.1</x:v>
      </x:c>
      <x:c r="N11" s="108" t="n">
        <x:f>IFERROR(L11*M11,0)</x:f>
        <x:v>15</x:v>
      </x:c>
      <x:c r="O11" s="19" t="str"/>
      <x:c r="P11" s="26" t="str"/>
    </x:row>
    <x:row r="12">
      <x:c r="A12" s="101" t="n">
        <x:v>11</x:v>
      </x:c>
      <x:c r="B12" s="19" t="str">
        <x:v>VanillaGoods</x:v>
      </x:c>
      <x:c r="C12" s="19" t="str">
        <x:v>A</x:v>
      </x:c>
      <x:c r="D12" s="19" t="str"/>
      <x:c r="E12" s="19" t="str">
        <x:v>Not Started</x:v>
      </x:c>
      <x:c r="F12" s="120" t="str"/>
      <x:c r="G12" s="120" t="str"/>
      <x:c r="H12" s="19" t="str">
        <x:v>No</x:v>
      </x:c>
      <x:c r="I12" s="19" t="str">
        <x:v>No</x:v>
      </x:c>
      <x:c r="J12" s="19" t="str"/>
      <x:c r="K12" s="124" t="str"/>
      <x:c r="L12" s="108" t="n">
        <x:v>100</x:v>
      </x:c>
      <x:c r="M12" s="128" t="n">
        <x:v>0.1</x:v>
      </x:c>
      <x:c r="N12" s="108" t="n">
        <x:f>IFERROR(L12*M12,0)</x:f>
        <x:v>10</x:v>
      </x:c>
      <x:c r="O12" s="19" t="str"/>
      <x:c r="P12" s="26" t="str"/>
    </x:row>
    <x:row r="13">
      <x:c r="A13" s="101" t="n">
        <x:v>12</x:v>
      </x:c>
      <x:c r="B13" s="19" t="str">
        <x:v>Native Vanilla</x:v>
      </x:c>
      <x:c r="C13" s="19" t="str">
        <x:v>A</x:v>
      </x:c>
      <x:c r="D13" s="19" t="str"/>
      <x:c r="E13" s="19" t="str">
        <x:v>Not Started</x:v>
      </x:c>
      <x:c r="F13" s="120" t="str"/>
      <x:c r="G13" s="120" t="str"/>
      <x:c r="H13" s="19" t="str">
        <x:v>No</x:v>
      </x:c>
      <x:c r="I13" s="19" t="str">
        <x:v>No</x:v>
      </x:c>
      <x:c r="J13" s="19" t="str"/>
      <x:c r="K13" s="124" t="str"/>
      <x:c r="L13" s="108" t="n">
        <x:v>100</x:v>
      </x:c>
      <x:c r="M13" s="128" t="n">
        <x:v>0.1</x:v>
      </x:c>
      <x:c r="N13" s="108" t="n">
        <x:f>IFERROR(L13*M13,0)</x:f>
        <x:v>10</x:v>
      </x:c>
      <x:c r="O13" s="19" t="str"/>
      <x:c r="P13" s="26" t="str"/>
    </x:row>
    <x:row r="14">
      <x:c r="A14" s="101" t="n">
        <x:v>13</x:v>
      </x:c>
      <x:c r="B14" s="19" t="str">
        <x:v>Singing Dog Vanilla</x:v>
      </x:c>
      <x:c r="C14" s="19" t="str">
        <x:v>A</x:v>
      </x:c>
      <x:c r="D14" s="19" t="str"/>
      <x:c r="E14" s="19" t="str">
        <x:v>Not Started</x:v>
      </x:c>
      <x:c r="F14" s="120" t="str"/>
      <x:c r="G14" s="120" t="str"/>
      <x:c r="H14" s="19" t="str">
        <x:v>No</x:v>
      </x:c>
      <x:c r="I14" s="19" t="str">
        <x:v>No</x:v>
      </x:c>
      <x:c r="J14" s="19" t="str"/>
      <x:c r="K14" s="124" t="str"/>
      <x:c r="L14" s="108" t="n">
        <x:v>150</x:v>
      </x:c>
      <x:c r="M14" s="128" t="n">
        <x:v>0.1</x:v>
      </x:c>
      <x:c r="N14" s="108" t="n">
        <x:f>IFERROR(L14*M14,0)</x:f>
        <x:v>15</x:v>
      </x:c>
      <x:c r="O14" s="19" t="str"/>
      <x:c r="P14" s="26" t="str"/>
    </x:row>
    <x:row r="15">
      <x:c r="A15" s="101" t="n">
        <x:v>14</x:v>
      </x:c>
      <x:c r="B15" s="19" t="str">
        <x:v>Heilala Vanilla</x:v>
      </x:c>
      <x:c r="C15" s="19" t="str">
        <x:v>A</x:v>
      </x:c>
      <x:c r="D15" s="19" t="str"/>
      <x:c r="E15" s="19" t="str">
        <x:v>Not Started</x:v>
      </x:c>
      <x:c r="F15" s="120" t="str"/>
      <x:c r="G15" s="120" t="str"/>
      <x:c r="H15" s="19" t="str">
        <x:v>No</x:v>
      </x:c>
      <x:c r="I15" s="19" t="str">
        <x:v>No</x:v>
      </x:c>
      <x:c r="J15" s="19" t="str"/>
      <x:c r="K15" s="124" t="str"/>
      <x:c r="L15" s="108" t="n">
        <x:v>100</x:v>
      </x:c>
      <x:c r="M15" s="128" t="n">
        <x:v>0.1</x:v>
      </x:c>
      <x:c r="N15" s="108" t="n">
        <x:f>IFERROR(L15*M15,0)</x:f>
        <x:v>10</x:v>
      </x:c>
      <x:c r="O15" s="19" t="str"/>
      <x:c r="P15" s="26" t="str"/>
    </x:row>
    <x:row r="16">
      <x:c r="A16" s="101" t="n">
        <x:v>15</x:v>
      </x:c>
      <x:c r="B16" s="19" t="str">
        <x:v>Vanilla Food Company</x:v>
      </x:c>
      <x:c r="C16" s="19" t="str">
        <x:v>A</x:v>
      </x:c>
      <x:c r="D16" s="19" t="str"/>
      <x:c r="E16" s="19" t="str">
        <x:v>Not Started</x:v>
      </x:c>
      <x:c r="F16" s="120" t="str"/>
      <x:c r="G16" s="120" t="str"/>
      <x:c r="H16" s="19" t="str">
        <x:v>No</x:v>
      </x:c>
      <x:c r="I16" s="19" t="str">
        <x:v>No</x:v>
      </x:c>
      <x:c r="J16" s="19" t="str"/>
      <x:c r="K16" s="124" t="str"/>
      <x:c r="L16" s="108" t="n">
        <x:v>75</x:v>
      </x:c>
      <x:c r="M16" s="128" t="n">
        <x:v>0.1</x:v>
      </x:c>
      <x:c r="N16" s="108" t="n">
        <x:f>IFERROR(L16*M16,0)</x:f>
        <x:v>7.5</x:v>
      </x:c>
      <x:c r="O16" s="19" t="str"/>
      <x:c r="P16" s="26" t="str"/>
    </x:row>
    <x:row r="17">
      <x:c r="A17" s="101" t="n">
        <x:v>16</x:v>
      </x:c>
      <x:c r="B17" s="19" t="str">
        <x:v>MUST Vanilla Gourmet</x:v>
      </x:c>
      <x:c r="C17" s="19" t="str">
        <x:v>A</x:v>
      </x:c>
      <x:c r="D17" s="19" t="str"/>
      <x:c r="E17" s="19" t="str">
        <x:v>Not Started</x:v>
      </x:c>
      <x:c r="F17" s="120" t="str"/>
      <x:c r="G17" s="120" t="str"/>
      <x:c r="H17" s="19" t="str">
        <x:v>No</x:v>
      </x:c>
      <x:c r="I17" s="19" t="str">
        <x:v>No</x:v>
      </x:c>
      <x:c r="J17" s="19" t="str"/>
      <x:c r="K17" s="124" t="str"/>
      <x:c r="L17" s="108" t="n">
        <x:v>150</x:v>
      </x:c>
      <x:c r="M17" s="128" t="n">
        <x:v>0.1</x:v>
      </x:c>
      <x:c r="N17" s="108" t="n">
        <x:f>IFERROR(L17*M17,0)</x:f>
        <x:v>15</x:v>
      </x:c>
      <x:c r="O17" s="19" t="str"/>
      <x:c r="P17" s="26" t="str"/>
    </x:row>
    <x:row r="18">
      <x:c r="A18" s="101" t="n">
        <x:v>17</x:v>
      </x:c>
      <x:c r="B18" s="19" t="str">
        <x:v>Vanille B.V.</x:v>
      </x:c>
      <x:c r="C18" s="19" t="str">
        <x:v>A</x:v>
      </x:c>
      <x:c r="D18" s="19" t="str"/>
      <x:c r="E18" s="19" t="str">
        <x:v>Not Started</x:v>
      </x:c>
      <x:c r="F18" s="120" t="str"/>
      <x:c r="G18" s="120" t="str"/>
      <x:c r="H18" s="19" t="str">
        <x:v>No</x:v>
      </x:c>
      <x:c r="I18" s="19" t="str">
        <x:v>No</x:v>
      </x:c>
      <x:c r="J18" s="19" t="str"/>
      <x:c r="K18" s="124" t="str"/>
      <x:c r="L18" s="108" t="n">
        <x:v>150</x:v>
      </x:c>
      <x:c r="M18" s="128" t="n">
        <x:v>0.1</x:v>
      </x:c>
      <x:c r="N18" s="108" t="n">
        <x:f>IFERROR(L18*M18,0)</x:f>
        <x:v>15</x:v>
      </x:c>
      <x:c r="O18" s="19" t="str"/>
      <x:c r="P18" s="26" t="str"/>
    </x:row>
    <x:row r="19">
      <x:c r="A19" s="101" t="n">
        <x:v>18</x:v>
      </x:c>
      <x:c r="B19" s="19" t="str">
        <x:v>Thiercelin 1809</x:v>
      </x:c>
      <x:c r="C19" s="19" t="str">
        <x:v>A</x:v>
      </x:c>
      <x:c r="D19" s="19" t="str"/>
      <x:c r="E19" s="19" t="str">
        <x:v>Not Started</x:v>
      </x:c>
      <x:c r="F19" s="120" t="str"/>
      <x:c r="G19" s="120" t="str"/>
      <x:c r="H19" s="19" t="str">
        <x:v>No</x:v>
      </x:c>
      <x:c r="I19" s="19" t="str">
        <x:v>No</x:v>
      </x:c>
      <x:c r="J19" s="19" t="str"/>
      <x:c r="K19" s="124" t="str"/>
      <x:c r="L19" s="108" t="n">
        <x:v>100</x:v>
      </x:c>
      <x:c r="M19" s="128" t="n">
        <x:v>0.1</x:v>
      </x:c>
      <x:c r="N19" s="108" t="n">
        <x:f>IFERROR(L19*M19,0)</x:f>
        <x:v>10</x:v>
      </x:c>
      <x:c r="O19" s="19" t="str"/>
      <x:c r="P19" s="26" t="str"/>
    </x:row>
    <x:row r="20">
      <x:c r="A20" s="101" t="n">
        <x:v>19</x:v>
      </x:c>
      <x:c r="B20" s="19" t="str">
        <x:v>Global Resources Direct</x:v>
      </x:c>
      <x:c r="C20" s="19" t="str">
        <x:v>A</x:v>
      </x:c>
      <x:c r="D20" s="19" t="str"/>
      <x:c r="E20" s="19" t="str">
        <x:v>Not Started</x:v>
      </x:c>
      <x:c r="F20" s="120" t="str"/>
      <x:c r="G20" s="120" t="str"/>
      <x:c r="H20" s="19" t="str">
        <x:v>No</x:v>
      </x:c>
      <x:c r="I20" s="19" t="str">
        <x:v>No</x:v>
      </x:c>
      <x:c r="J20" s="19" t="str"/>
      <x:c r="K20" s="124" t="str"/>
      <x:c r="L20" s="108" t="n">
        <x:v>250</x:v>
      </x:c>
      <x:c r="M20" s="128" t="n">
        <x:v>0.1</x:v>
      </x:c>
      <x:c r="N20" s="108" t="n">
        <x:f>IFERROR(L20*M20,0)</x:f>
        <x:v>25</x:v>
      </x:c>
      <x:c r="O20" s="19" t="str"/>
      <x:c r="P20" s="26" t="str"/>
    </x:row>
    <x:row r="21">
      <x:c r="A21" s="101" t="n">
        <x:v>20</x:v>
      </x:c>
      <x:c r="B21" s="19" t="str">
        <x:v>Cambridge Commodities</x:v>
      </x:c>
      <x:c r="C21" s="19" t="str">
        <x:v>A</x:v>
      </x:c>
      <x:c r="D21" s="19" t="str"/>
      <x:c r="E21" s="19" t="str">
        <x:v>Not Started</x:v>
      </x:c>
      <x:c r="F21" s="120" t="str"/>
      <x:c r="G21" s="120" t="str"/>
      <x:c r="H21" s="19" t="str">
        <x:v>No</x:v>
      </x:c>
      <x:c r="I21" s="19" t="str">
        <x:v>No</x:v>
      </x:c>
      <x:c r="J21" s="19" t="str"/>
      <x:c r="K21" s="124" t="str"/>
      <x:c r="L21" s="108" t="n">
        <x:v>250</x:v>
      </x:c>
      <x:c r="M21" s="128" t="n">
        <x:v>0.1</x:v>
      </x:c>
      <x:c r="N21" s="108" t="n">
        <x:f>IFERROR(L21*M21,0)</x:f>
        <x:v>25</x:v>
      </x:c>
      <x:c r="O21" s="19" t="str"/>
      <x:c r="P21" s="26" t="str"/>
    </x:row>
    <x:row r="22">
      <x:c r="A22" s="101" t="n">
        <x:v>21</x:v>
      </x:c>
      <x:c r="B22" s="19" t="str">
        <x:v>Tradin Organic</x:v>
      </x:c>
      <x:c r="C22" s="19" t="str">
        <x:v>A</x:v>
      </x:c>
      <x:c r="D22" s="19" t="str"/>
      <x:c r="E22" s="19" t="str">
        <x:v>Not Started</x:v>
      </x:c>
      <x:c r="F22" s="120" t="str"/>
      <x:c r="G22" s="120" t="str"/>
      <x:c r="H22" s="19" t="str">
        <x:v>No</x:v>
      </x:c>
      <x:c r="I22" s="19" t="str">
        <x:v>No</x:v>
      </x:c>
      <x:c r="J22" s="19" t="str"/>
      <x:c r="K22" s="124" t="str"/>
      <x:c r="L22" s="108" t="n">
        <x:v>500</x:v>
      </x:c>
      <x:c r="M22" s="128" t="n">
        <x:v>0.1</x:v>
      </x:c>
      <x:c r="N22" s="108" t="n">
        <x:f>IFERROR(L22*M22,0)</x:f>
        <x:v>50</x:v>
      </x:c>
      <x:c r="O22" s="19" t="str"/>
      <x:c r="P22" s="26" t="str"/>
    </x:row>
    <x:row r="23">
      <x:c r="A23" s="101" t="n">
        <x:v>22</x:v>
      </x:c>
      <x:c r="B23" s="19" t="str">
        <x:v>Univar Solutions Foodology</x:v>
      </x:c>
      <x:c r="C23" s="19" t="str">
        <x:v>B</x:v>
      </x:c>
      <x:c r="D23" s="19" t="str"/>
      <x:c r="E23" s="19" t="str">
        <x:v>Not Started</x:v>
      </x:c>
      <x:c r="F23" s="120" t="str"/>
      <x:c r="G23" s="120" t="str"/>
      <x:c r="H23" s="19" t="str">
        <x:v>No</x:v>
      </x:c>
      <x:c r="I23" s="19" t="str">
        <x:v>No</x:v>
      </x:c>
      <x:c r="J23" s="19" t="str"/>
      <x:c r="K23" s="124" t="str"/>
      <x:c r="L23" s="108" t="n">
        <x:v>1000</x:v>
      </x:c>
      <x:c r="M23" s="128" t="n">
        <x:v>0.05</x:v>
      </x:c>
      <x:c r="N23" s="108" t="n">
        <x:f>IFERROR(L23*M23,0)</x:f>
        <x:v>50</x:v>
      </x:c>
      <x:c r="O23" s="19" t="str"/>
      <x:c r="P23" s="26" t="str"/>
    </x:row>
    <x:row r="24">
      <x:c r="A24" s="101" t="n">
        <x:v>23</x:v>
      </x:c>
      <x:c r="B24" s="19" t="str">
        <x:v>Brenntag Food &amp; Nutrition</x:v>
      </x:c>
      <x:c r="C24" s="19" t="str">
        <x:v>B</x:v>
      </x:c>
      <x:c r="D24" s="19" t="str"/>
      <x:c r="E24" s="19" t="str">
        <x:v>Not Started</x:v>
      </x:c>
      <x:c r="F24" s="120" t="str"/>
      <x:c r="G24" s="120" t="str"/>
      <x:c r="H24" s="19" t="str">
        <x:v>No</x:v>
      </x:c>
      <x:c r="I24" s="19" t="str">
        <x:v>No</x:v>
      </x:c>
      <x:c r="J24" s="19" t="str"/>
      <x:c r="K24" s="124" t="str"/>
      <x:c r="L24" s="108" t="n">
        <x:v>1000</x:v>
      </x:c>
      <x:c r="M24" s="128" t="n">
        <x:v>0.05</x:v>
      </x:c>
      <x:c r="N24" s="108" t="n">
        <x:f>IFERROR(L24*M24,0)</x:f>
        <x:v>50</x:v>
      </x:c>
      <x:c r="O24" s="19" t="str"/>
      <x:c r="P24" s="26" t="str"/>
    </x:row>
    <x:row r="25">
      <x:c r="A25" s="101" t="n">
        <x:v>24</x:v>
      </x:c>
      <x:c r="B25" s="19" t="str">
        <x:v>Barentz</x:v>
      </x:c>
      <x:c r="C25" s="19" t="str">
        <x:v>B</x:v>
      </x:c>
      <x:c r="D25" s="19" t="str"/>
      <x:c r="E25" s="19" t="str">
        <x:v>Not Started</x:v>
      </x:c>
      <x:c r="F25" s="120" t="str"/>
      <x:c r="G25" s="120" t="str"/>
      <x:c r="H25" s="19" t="str">
        <x:v>No</x:v>
      </x:c>
      <x:c r="I25" s="19" t="str">
        <x:v>No</x:v>
      </x:c>
      <x:c r="J25" s="19" t="str"/>
      <x:c r="K25" s="124" t="str"/>
      <x:c r="L25" s="108" t="n">
        <x:v>1000</x:v>
      </x:c>
      <x:c r="M25" s="128" t="n">
        <x:v>0.05</x:v>
      </x:c>
      <x:c r="N25" s="108" t="n">
        <x:f>IFERROR(L25*M25,0)</x:f>
        <x:v>50</x:v>
      </x:c>
      <x:c r="O25" s="19" t="str"/>
      <x:c r="P25" s="26" t="str"/>
    </x:row>
    <x:row r="26">
      <x:c r="A26" s="101" t="n">
        <x:v>25</x:v>
      </x:c>
      <x:c r="B26" s="19" t="str">
        <x:v>Azelis</x:v>
      </x:c>
      <x:c r="C26" s="19" t="str">
        <x:v>B</x:v>
      </x:c>
      <x:c r="D26" s="19" t="str"/>
      <x:c r="E26" s="19" t="str">
        <x:v>Not Started</x:v>
      </x:c>
      <x:c r="F26" s="120" t="str"/>
      <x:c r="G26" s="120" t="str"/>
      <x:c r="H26" s="19" t="str">
        <x:v>No</x:v>
      </x:c>
      <x:c r="I26" s="19" t="str">
        <x:v>No</x:v>
      </x:c>
      <x:c r="J26" s="19" t="str"/>
      <x:c r="K26" s="124" t="str"/>
      <x:c r="L26" s="108" t="n">
        <x:v>750</x:v>
      </x:c>
      <x:c r="M26" s="128" t="n">
        <x:v>0.05</x:v>
      </x:c>
      <x:c r="N26" s="108" t="n">
        <x:f>IFERROR(L26*M26,0)</x:f>
        <x:v>37.5</x:v>
      </x:c>
      <x:c r="O26" s="19" t="str"/>
      <x:c r="P26" s="26" t="str"/>
    </x:row>
    <x:row r="27">
      <x:c r="A27" s="101" t="n">
        <x:v>26</x:v>
      </x:c>
      <x:c r="B27" s="19" t="str">
        <x:v>IMCD Food &amp; Nutrition</x:v>
      </x:c>
      <x:c r="C27" s="19" t="str">
        <x:v>B</x:v>
      </x:c>
      <x:c r="D27" s="19" t="str"/>
      <x:c r="E27" s="19" t="str">
        <x:v>Not Started</x:v>
      </x:c>
      <x:c r="F27" s="120" t="str"/>
      <x:c r="G27" s="120" t="str"/>
      <x:c r="H27" s="19" t="str">
        <x:v>No</x:v>
      </x:c>
      <x:c r="I27" s="19" t="str">
        <x:v>No</x:v>
      </x:c>
      <x:c r="J27" s="19" t="str"/>
      <x:c r="K27" s="124" t="str"/>
      <x:c r="L27" s="108" t="n">
        <x:v>750</x:v>
      </x:c>
      <x:c r="M27" s="128" t="n">
        <x:v>0.05</x:v>
      </x:c>
      <x:c r="N27" s="108" t="n">
        <x:f>IFERROR(L27*M27,0)</x:f>
        <x:v>37.5</x:v>
      </x:c>
      <x:c r="O27" s="19" t="str"/>
      <x:c r="P27" s="26" t="str"/>
    </x:row>
    <x:row r="28">
      <x:c r="A28" s="101" t="n">
        <x:v>27</x:v>
      </x:c>
      <x:c r="B28" s="19" t="str">
        <x:v>Caldic</x:v>
      </x:c>
      <x:c r="C28" s="19" t="str">
        <x:v>B</x:v>
      </x:c>
      <x:c r="D28" s="19" t="str"/>
      <x:c r="E28" s="19" t="str">
        <x:v>Not Started</x:v>
      </x:c>
      <x:c r="F28" s="120" t="str"/>
      <x:c r="G28" s="120" t="str"/>
      <x:c r="H28" s="19" t="str">
        <x:v>No</x:v>
      </x:c>
      <x:c r="I28" s="19" t="str">
        <x:v>No</x:v>
      </x:c>
      <x:c r="J28" s="19" t="str"/>
      <x:c r="K28" s="124" t="str"/>
      <x:c r="L28" s="108" t="n">
        <x:v>750</x:v>
      </x:c>
      <x:c r="M28" s="128" t="n">
        <x:v>0.05</x:v>
      </x:c>
      <x:c r="N28" s="108" t="n">
        <x:f>IFERROR(L28*M28,0)</x:f>
        <x:v>37.5</x:v>
      </x:c>
      <x:c r="O28" s="19" t="str"/>
      <x:c r="P28" s="26" t="str"/>
    </x:row>
    <x:row r="29">
      <x:c r="A29" s="101" t="n">
        <x:v>28</x:v>
      </x:c>
      <x:c r="B29" s="19" t="str">
        <x:v>Connell / Caldic APAC</x:v>
      </x:c>
      <x:c r="C29" s="19" t="str">
        <x:v>B</x:v>
      </x:c>
      <x:c r="D29" s="19" t="str"/>
      <x:c r="E29" s="19" t="str">
        <x:v>Not Started</x:v>
      </x:c>
      <x:c r="F29" s="120" t="str"/>
      <x:c r="G29" s="120" t="str"/>
      <x:c r="H29" s="19" t="str">
        <x:v>No</x:v>
      </x:c>
      <x:c r="I29" s="19" t="str">
        <x:v>No</x:v>
      </x:c>
      <x:c r="J29" s="19" t="str"/>
      <x:c r="K29" s="124" t="str"/>
      <x:c r="L29" s="108" t="n">
        <x:v>500</x:v>
      </x:c>
      <x:c r="M29" s="128" t="n">
        <x:v>0.05</x:v>
      </x:c>
      <x:c r="N29" s="108" t="n">
        <x:f>IFERROR(L29*M29,0)</x:f>
        <x:v>25</x:v>
      </x:c>
      <x:c r="O29" s="19" t="str"/>
      <x:c r="P29" s="26" t="str"/>
    </x:row>
    <x:row r="30">
      <x:c r="A30" s="101" t="n">
        <x:v>29</x:v>
      </x:c>
      <x:c r="B30" s="19" t="str">
        <x:v>DKSH Performance Materials</x:v>
      </x:c>
      <x:c r="C30" s="19" t="str">
        <x:v>B</x:v>
      </x:c>
      <x:c r="D30" s="19" t="str"/>
      <x:c r="E30" s="19" t="str">
        <x:v>Not Started</x:v>
      </x:c>
      <x:c r="F30" s="120" t="str"/>
      <x:c r="G30" s="120" t="str"/>
      <x:c r="H30" s="19" t="str">
        <x:v>No</x:v>
      </x:c>
      <x:c r="I30" s="19" t="str">
        <x:v>No</x:v>
      </x:c>
      <x:c r="J30" s="19" t="str"/>
      <x:c r="K30" s="124" t="str"/>
      <x:c r="L30" s="108" t="n">
        <x:v>500</x:v>
      </x:c>
      <x:c r="M30" s="128" t="n">
        <x:v>0.05</x:v>
      </x:c>
      <x:c r="N30" s="108" t="n">
        <x:f>IFERROR(L30*M30,0)</x:f>
        <x:v>25</x:v>
      </x:c>
      <x:c r="O30" s="19" t="str"/>
      <x:c r="P30" s="26" t="str"/>
    </x:row>
    <x:row r="31">
      <x:c r="A31" s="101" t="n">
        <x:v>30</x:v>
      </x:c>
      <x:c r="B31" s="19" t="str">
        <x:v>Prinova</x:v>
      </x:c>
      <x:c r="C31" s="19" t="str">
        <x:v>B</x:v>
      </x:c>
      <x:c r="D31" s="19" t="str"/>
      <x:c r="E31" s="19" t="str">
        <x:v>Not Started</x:v>
      </x:c>
      <x:c r="F31" s="120" t="str"/>
      <x:c r="G31" s="120" t="str"/>
      <x:c r="H31" s="19" t="str">
        <x:v>No</x:v>
      </x:c>
      <x:c r="I31" s="19" t="str">
        <x:v>No</x:v>
      </x:c>
      <x:c r="J31" s="19" t="str"/>
      <x:c r="K31" s="124" t="str"/>
      <x:c r="L31" s="108" t="n">
        <x:v>500</x:v>
      </x:c>
      <x:c r="M31" s="128" t="n">
        <x:v>0.05</x:v>
      </x:c>
      <x:c r="N31" s="108" t="n">
        <x:f>IFERROR(L31*M31,0)</x:f>
        <x:v>25</x:v>
      </x:c>
      <x:c r="O31" s="19" t="str"/>
      <x:c r="P31" s="26" t="str"/>
    </x:row>
    <x:row r="32">
      <x:c r="A32" s="101" t="n">
        <x:v>31</x:v>
      </x:c>
      <x:c r="B32" s="19" t="str">
        <x:v>Quadra Group</x:v>
      </x:c>
      <x:c r="C32" s="19" t="str">
        <x:v>B</x:v>
      </x:c>
      <x:c r="D32" s="19" t="str"/>
      <x:c r="E32" s="19" t="str">
        <x:v>Not Started</x:v>
      </x:c>
      <x:c r="F32" s="120" t="str"/>
      <x:c r="G32" s="120" t="str"/>
      <x:c r="H32" s="19" t="str">
        <x:v>No</x:v>
      </x:c>
      <x:c r="I32" s="19" t="str">
        <x:v>No</x:v>
      </x:c>
      <x:c r="J32" s="19" t="str"/>
      <x:c r="K32" s="124" t="str"/>
      <x:c r="L32" s="108" t="n">
        <x:v>300</x:v>
      </x:c>
      <x:c r="M32" s="128" t="n">
        <x:v>0.05</x:v>
      </x:c>
      <x:c r="N32" s="108" t="n">
        <x:f>IFERROR(L32*M32,0)</x:f>
        <x:v>15</x:v>
      </x:c>
      <x:c r="O32" s="19" t="str"/>
      <x:c r="P32" s="26" t="str"/>
    </x:row>
    <x:row r="33">
      <x:c r="A33" s="101" t="n">
        <x:v>32</x:v>
      </x:c>
      <x:c r="B33" s="19" t="str">
        <x:v>Royal Ingredients Group</x:v>
      </x:c>
      <x:c r="C33" s="19" t="str">
        <x:v>B</x:v>
      </x:c>
      <x:c r="D33" s="19" t="str"/>
      <x:c r="E33" s="19" t="str">
        <x:v>Not Started</x:v>
      </x:c>
      <x:c r="F33" s="120" t="str"/>
      <x:c r="G33" s="120" t="str"/>
      <x:c r="H33" s="19" t="str">
        <x:v>No</x:v>
      </x:c>
      <x:c r="I33" s="19" t="str">
        <x:v>No</x:v>
      </x:c>
      <x:c r="J33" s="19" t="str"/>
      <x:c r="K33" s="124" t="str"/>
      <x:c r="L33" s="108" t="n">
        <x:v>300</x:v>
      </x:c>
      <x:c r="M33" s="128" t="n">
        <x:v>0.05</x:v>
      </x:c>
      <x:c r="N33" s="108" t="n">
        <x:f>IFERROR(L33*M33,0)</x:f>
        <x:v>15</x:v>
      </x:c>
      <x:c r="O33" s="19" t="str"/>
      <x:c r="P33" s="26" t="str"/>
    </x:row>
    <x:row r="34">
      <x:c r="A34" s="101" t="n">
        <x:v>33</x:v>
      </x:c>
      <x:c r="B34" s="19" t="str">
        <x:v>Kreglinger Europe</x:v>
      </x:c>
      <x:c r="C34" s="19" t="str">
        <x:v>B</x:v>
      </x:c>
      <x:c r="D34" s="19" t="str"/>
      <x:c r="E34" s="19" t="str">
        <x:v>Not Started</x:v>
      </x:c>
      <x:c r="F34" s="120" t="str"/>
      <x:c r="G34" s="120" t="str"/>
      <x:c r="H34" s="19" t="str">
        <x:v>No</x:v>
      </x:c>
      <x:c r="I34" s="19" t="str">
        <x:v>No</x:v>
      </x:c>
      <x:c r="J34" s="19" t="str"/>
      <x:c r="K34" s="124" t="str"/>
      <x:c r="L34" s="108" t="n">
        <x:v>250</x:v>
      </x:c>
      <x:c r="M34" s="128" t="n">
        <x:v>0.05</x:v>
      </x:c>
      <x:c r="N34" s="108" t="n">
        <x:f>IFERROR(L34*M34,0)</x:f>
        <x:v>12.5</x:v>
      </x:c>
      <x:c r="O34" s="19" t="str"/>
      <x:c r="P34" s="26" t="str"/>
    </x:row>
    <x:row r="35">
      <x:c r="A35" s="101" t="n">
        <x:v>34</x:v>
      </x:c>
      <x:c r="B35" s="19" t="str">
        <x:v>Meelunie</x:v>
      </x:c>
      <x:c r="C35" s="19" t="str">
        <x:v>B</x:v>
      </x:c>
      <x:c r="D35" s="19" t="str"/>
      <x:c r="E35" s="19" t="str">
        <x:v>Not Started</x:v>
      </x:c>
      <x:c r="F35" s="120" t="str"/>
      <x:c r="G35" s="120" t="str"/>
      <x:c r="H35" s="19" t="str">
        <x:v>No</x:v>
      </x:c>
      <x:c r="I35" s="19" t="str">
        <x:v>No</x:v>
      </x:c>
      <x:c r="J35" s="19" t="str"/>
      <x:c r="K35" s="124" t="str"/>
      <x:c r="L35" s="108" t="n">
        <x:v>250</x:v>
      </x:c>
      <x:c r="M35" s="128" t="n">
        <x:v>0.05</x:v>
      </x:c>
      <x:c r="N35" s="108" t="n">
        <x:f>IFERROR(L35*M35,0)</x:f>
        <x:v>12.5</x:v>
      </x:c>
      <x:c r="O35" s="19" t="str"/>
      <x:c r="P35" s="26" t="str"/>
    </x:row>
    <x:row r="36">
      <x:c r="A36" s="101" t="n">
        <x:v>35</x:v>
      </x:c>
      <x:c r="B36" s="19" t="str">
        <x:v>Henley Bridge / HB Ingredients</x:v>
      </x:c>
      <x:c r="C36" s="19" t="str">
        <x:v>A</x:v>
      </x:c>
      <x:c r="D36" s="19" t="str"/>
      <x:c r="E36" s="19" t="str">
        <x:v>Not Started</x:v>
      </x:c>
      <x:c r="F36" s="120" t="str"/>
      <x:c r="G36" s="120" t="str"/>
      <x:c r="H36" s="19" t="str">
        <x:v>No</x:v>
      </x:c>
      <x:c r="I36" s="19" t="str">
        <x:v>No</x:v>
      </x:c>
      <x:c r="J36" s="19" t="str"/>
      <x:c r="K36" s="124" t="str"/>
      <x:c r="L36" s="108" t="n">
        <x:v>150</x:v>
      </x:c>
      <x:c r="M36" s="128" t="n">
        <x:v>0.1</x:v>
      </x:c>
      <x:c r="N36" s="108" t="n">
        <x:f>IFERROR(L36*M36,0)</x:f>
        <x:v>15</x:v>
      </x:c>
      <x:c r="O36" s="19" t="str"/>
      <x:c r="P36" s="26" t="str"/>
    </x:row>
    <x:row r="37">
      <x:c r="A37" s="101" t="n">
        <x:v>36</x:v>
      </x:c>
      <x:c r="B37" s="19" t="str">
        <x:v>Batory Foods</x:v>
      </x:c>
      <x:c r="C37" s="19" t="str">
        <x:v>B</x:v>
      </x:c>
      <x:c r="D37" s="19" t="str"/>
      <x:c r="E37" s="19" t="str">
        <x:v>Not Started</x:v>
      </x:c>
      <x:c r="F37" s="120" t="str"/>
      <x:c r="G37" s="120" t="str"/>
      <x:c r="H37" s="19" t="str">
        <x:v>No</x:v>
      </x:c>
      <x:c r="I37" s="19" t="str">
        <x:v>No</x:v>
      </x:c>
      <x:c r="J37" s="19" t="str"/>
      <x:c r="K37" s="124" t="str"/>
      <x:c r="L37" s="108" t="n">
        <x:v>300</x:v>
      </x:c>
      <x:c r="M37" s="128" t="n">
        <x:v>0.05</x:v>
      </x:c>
      <x:c r="N37" s="108" t="n">
        <x:f>IFERROR(L37*M37,0)</x:f>
        <x:v>15</x:v>
      </x:c>
      <x:c r="O37" s="19" t="str"/>
      <x:c r="P37" s="26" t="str"/>
    </x:row>
    <x:row r="38">
      <x:c r="A38" s="101" t="n">
        <x:v>37</x:v>
      </x:c>
      <x:c r="B38" s="19" t="str">
        <x:v>Stover &amp; Company</x:v>
      </x:c>
      <x:c r="C38" s="19" t="str">
        <x:v>B</x:v>
      </x:c>
      <x:c r="D38" s="19" t="str"/>
      <x:c r="E38" s="19" t="str">
        <x:v>Not Started</x:v>
      </x:c>
      <x:c r="F38" s="120" t="str"/>
      <x:c r="G38" s="120" t="str"/>
      <x:c r="H38" s="19" t="str">
        <x:v>No</x:v>
      </x:c>
      <x:c r="I38" s="19" t="str">
        <x:v>No</x:v>
      </x:c>
      <x:c r="J38" s="19" t="str"/>
      <x:c r="K38" s="124" t="str"/>
      <x:c r="L38" s="108" t="n">
        <x:v>150</x:v>
      </x:c>
      <x:c r="M38" s="128" t="n">
        <x:v>0.05</x:v>
      </x:c>
      <x:c r="N38" s="108" t="n">
        <x:f>IFERROR(L38*M38,0)</x:f>
        <x:v>7.5</x:v>
      </x:c>
      <x:c r="O38" s="19" t="str"/>
      <x:c r="P38" s="26" t="str"/>
    </x:row>
    <x:row r="39">
      <x:c r="A39" s="101" t="n">
        <x:v>38</x:v>
      </x:c>
      <x:c r="B39" s="19" t="str">
        <x:v>FDL Ltd / Fuerst Day Lawson</x:v>
      </x:c>
      <x:c r="C39" s="19" t="str">
        <x:v>B</x:v>
      </x:c>
      <x:c r="D39" s="19" t="str"/>
      <x:c r="E39" s="19" t="str">
        <x:v>Not Started</x:v>
      </x:c>
      <x:c r="F39" s="120" t="str"/>
      <x:c r="G39" s="120" t="str"/>
      <x:c r="H39" s="19" t="str">
        <x:v>No</x:v>
      </x:c>
      <x:c r="I39" s="19" t="str">
        <x:v>No</x:v>
      </x:c>
      <x:c r="J39" s="19" t="str"/>
      <x:c r="K39" s="124" t="str"/>
      <x:c r="L39" s="108" t="n">
        <x:v>300</x:v>
      </x:c>
      <x:c r="M39" s="128" t="n">
        <x:v>0.05</x:v>
      </x:c>
      <x:c r="N39" s="108" t="n">
        <x:f>IFERROR(L39*M39,0)</x:f>
        <x:v>15</x:v>
      </x:c>
      <x:c r="O39" s="19" t="str"/>
      <x:c r="P39" s="26" t="str"/>
    </x:row>
    <x:row r="40">
      <x:c r="A40" s="101" t="n">
        <x:v>39</x:v>
      </x:c>
      <x:c r="B40" s="19" t="str">
        <x:v>Pacific Spice Company</x:v>
      </x:c>
      <x:c r="C40" s="19" t="str">
        <x:v>B</x:v>
      </x:c>
      <x:c r="D40" s="19" t="str"/>
      <x:c r="E40" s="19" t="str">
        <x:v>Not Started</x:v>
      </x:c>
      <x:c r="F40" s="120" t="str"/>
      <x:c r="G40" s="120" t="str"/>
      <x:c r="H40" s="19" t="str">
        <x:v>No</x:v>
      </x:c>
      <x:c r="I40" s="19" t="str">
        <x:v>No</x:v>
      </x:c>
      <x:c r="J40" s="19" t="str"/>
      <x:c r="K40" s="124" t="str"/>
      <x:c r="L40" s="108" t="n">
        <x:v>200</x:v>
      </x:c>
      <x:c r="M40" s="128" t="n">
        <x:v>0.05</x:v>
      </x:c>
      <x:c r="N40" s="108" t="n">
        <x:f>IFERROR(L40*M40,0)</x:f>
        <x:v>10</x:v>
      </x:c>
      <x:c r="O40" s="19" t="str"/>
      <x:c r="P40" s="26" t="str"/>
    </x:row>
    <x:row r="41">
      <x:c r="A41" s="101" t="n">
        <x:v>40</x:v>
      </x:c>
      <x:c r="B41" s="19" t="str">
        <x:v>Kalustyan Corporation</x:v>
      </x:c>
      <x:c r="C41" s="19" t="str">
        <x:v>A</x:v>
      </x:c>
      <x:c r="D41" s="19" t="str"/>
      <x:c r="E41" s="19" t="str">
        <x:v>Not Started</x:v>
      </x:c>
      <x:c r="F41" s="120" t="str"/>
      <x:c r="G41" s="120" t="str"/>
      <x:c r="H41" s="19" t="str">
        <x:v>No</x:v>
      </x:c>
      <x:c r="I41" s="19" t="str">
        <x:v>No</x:v>
      </x:c>
      <x:c r="J41" s="19" t="str"/>
      <x:c r="K41" s="124" t="str"/>
      <x:c r="L41" s="108" t="n">
        <x:v>250</x:v>
      </x:c>
      <x:c r="M41" s="128" t="n">
        <x:v>0.1</x:v>
      </x:c>
      <x:c r="N41" s="108" t="n">
        <x:f>IFERROR(L41*M41,0)</x:f>
        <x:v>25</x:v>
      </x:c>
      <x:c r="O41" s="19" t="str"/>
      <x:c r="P41" s="26" t="str"/>
    </x:row>
    <x:row r="42">
      <x:c r="A42" s="101" t="n">
        <x:v>41</x:v>
      </x:c>
      <x:c r="B42" s="19" t="str">
        <x:v>Rocky Mountain Spice Company</x:v>
      </x:c>
      <x:c r="C42" s="19" t="str">
        <x:v>B</x:v>
      </x:c>
      <x:c r="D42" s="19" t="str"/>
      <x:c r="E42" s="19" t="str">
        <x:v>Not Started</x:v>
      </x:c>
      <x:c r="F42" s="120" t="str"/>
      <x:c r="G42" s="120" t="str"/>
      <x:c r="H42" s="19" t="str">
        <x:v>No</x:v>
      </x:c>
      <x:c r="I42" s="19" t="str">
        <x:v>No</x:v>
      </x:c>
      <x:c r="J42" s="19" t="str"/>
      <x:c r="K42" s="124" t="str"/>
      <x:c r="L42" s="108" t="n">
        <x:v>150</x:v>
      </x:c>
      <x:c r="M42" s="128" t="n">
        <x:v>0.05</x:v>
      </x:c>
      <x:c r="N42" s="108" t="n">
        <x:f>IFERROR(L42*M42,0)</x:f>
        <x:v>7.5</x:v>
      </x:c>
      <x:c r="O42" s="19" t="str"/>
      <x:c r="P42" s="26" t="str"/>
    </x:row>
    <x:row r="43">
      <x:c r="A43" s="101" t="n">
        <x:v>42</x:v>
      </x:c>
      <x:c r="B43" s="19" t="str">
        <x:v>Woodland Gourmet / Woodland Foods</x:v>
      </x:c>
      <x:c r="C43" s="19" t="str">
        <x:v>B</x:v>
      </x:c>
      <x:c r="D43" s="19" t="str"/>
      <x:c r="E43" s="19" t="str">
        <x:v>Not Started</x:v>
      </x:c>
      <x:c r="F43" s="120" t="str"/>
      <x:c r="G43" s="120" t="str"/>
      <x:c r="H43" s="19" t="str">
        <x:v>No</x:v>
      </x:c>
      <x:c r="I43" s="19" t="str">
        <x:v>No</x:v>
      </x:c>
      <x:c r="J43" s="19" t="str"/>
      <x:c r="K43" s="124" t="str"/>
      <x:c r="L43" s="108" t="n">
        <x:v>200</x:v>
      </x:c>
      <x:c r="M43" s="128" t="n">
        <x:v>0.05</x:v>
      </x:c>
      <x:c r="N43" s="108" t="n">
        <x:f>IFERROR(L43*M43,0)</x:f>
        <x:v>10</x:v>
      </x:c>
      <x:c r="O43" s="19" t="str"/>
      <x:c r="P43" s="26" t="str"/>
    </x:row>
    <x:row r="44">
      <x:c r="A44" s="101" t="n">
        <x:v>43</x:v>
      </x:c>
      <x:c r="B44" s="19" t="str">
        <x:v>Frontier Co-op</x:v>
      </x:c>
      <x:c r="C44" s="19" t="str">
        <x:v>B</x:v>
      </x:c>
      <x:c r="D44" s="19" t="str"/>
      <x:c r="E44" s="19" t="str">
        <x:v>Not Started</x:v>
      </x:c>
      <x:c r="F44" s="120" t="str"/>
      <x:c r="G44" s="120" t="str"/>
      <x:c r="H44" s="19" t="str">
        <x:v>No</x:v>
      </x:c>
      <x:c r="I44" s="19" t="str">
        <x:v>No</x:v>
      </x:c>
      <x:c r="J44" s="19" t="str"/>
      <x:c r="K44" s="124" t="str"/>
      <x:c r="L44" s="108" t="n">
        <x:v>250</x:v>
      </x:c>
      <x:c r="M44" s="128" t="n">
        <x:v>0.05</x:v>
      </x:c>
      <x:c r="N44" s="108" t="n">
        <x:f>IFERROR(L44*M44,0)</x:f>
        <x:v>12.5</x:v>
      </x:c>
      <x:c r="O44" s="19" t="str"/>
      <x:c r="P44" s="26" t="str"/>
    </x:row>
    <x:row r="45">
      <x:c r="A45" s="101" t="n">
        <x:v>44</x:v>
      </x:c>
      <x:c r="B45" s="19" t="str">
        <x:v>Mountain Rose Herbs</x:v>
      </x:c>
      <x:c r="C45" s="19" t="str">
        <x:v>A</x:v>
      </x:c>
      <x:c r="D45" s="19" t="str"/>
      <x:c r="E45" s="19" t="str">
        <x:v>Not Started</x:v>
      </x:c>
      <x:c r="F45" s="120" t="str"/>
      <x:c r="G45" s="120" t="str"/>
      <x:c r="H45" s="19" t="str">
        <x:v>No</x:v>
      </x:c>
      <x:c r="I45" s="19" t="str">
        <x:v>No</x:v>
      </x:c>
      <x:c r="J45" s="19" t="str"/>
      <x:c r="K45" s="124" t="str"/>
      <x:c r="L45" s="108" t="n">
        <x:v>150</x:v>
      </x:c>
      <x:c r="M45" s="128" t="n">
        <x:v>0.1</x:v>
      </x:c>
      <x:c r="N45" s="108" t="n">
        <x:f>IFERROR(L45*M45,0)</x:f>
        <x:v>15</x:v>
      </x:c>
      <x:c r="O45" s="19" t="str"/>
      <x:c r="P45" s="26" t="str"/>
    </x:row>
    <x:row r="46">
      <x:c r="A46" s="101" t="n">
        <x:v>45</x:v>
      </x:c>
      <x:c r="B46" s="19" t="str">
        <x:v>Burlap &amp; Barrel</x:v>
      </x:c>
      <x:c r="C46" s="19" t="str">
        <x:v>B</x:v>
      </x:c>
      <x:c r="D46" s="19" t="str"/>
      <x:c r="E46" s="19" t="str">
        <x:v>Not Started</x:v>
      </x:c>
      <x:c r="F46" s="120" t="str"/>
      <x:c r="G46" s="120" t="str"/>
      <x:c r="H46" s="19" t="str">
        <x:v>No</x:v>
      </x:c>
      <x:c r="I46" s="19" t="str">
        <x:v>No</x:v>
      </x:c>
      <x:c r="J46" s="19" t="str"/>
      <x:c r="K46" s="124" t="str"/>
      <x:c r="L46" s="108" t="n">
        <x:v>75</x:v>
      </x:c>
      <x:c r="M46" s="128" t="n">
        <x:v>0.05</x:v>
      </x:c>
      <x:c r="N46" s="108" t="n">
        <x:f>IFERROR(L46*M46,0)</x:f>
        <x:v>3.75</x:v>
      </x:c>
      <x:c r="O46" s="19" t="str"/>
      <x:c r="P46" s="26" t="str"/>
    </x:row>
    <x:row r="47">
      <x:c r="A47" s="101" t="n">
        <x:v>46</x:v>
      </x:c>
      <x:c r="B47" s="19" t="str">
        <x:v>The Spice House</x:v>
      </x:c>
      <x:c r="C47" s="19" t="str">
        <x:v>B</x:v>
      </x:c>
      <x:c r="D47" s="19" t="str"/>
      <x:c r="E47" s="19" t="str">
        <x:v>Not Started</x:v>
      </x:c>
      <x:c r="F47" s="120" t="str"/>
      <x:c r="G47" s="120" t="str"/>
      <x:c r="H47" s="19" t="str">
        <x:v>No</x:v>
      </x:c>
      <x:c r="I47" s="19" t="str">
        <x:v>No</x:v>
      </x:c>
      <x:c r="J47" s="19" t="str"/>
      <x:c r="K47" s="124" t="str"/>
      <x:c r="L47" s="108" t="n">
        <x:v>100</x:v>
      </x:c>
      <x:c r="M47" s="128" t="n">
        <x:v>0.05</x:v>
      </x:c>
      <x:c r="N47" s="108" t="n">
        <x:f>IFERROR(L47*M47,0)</x:f>
        <x:v>5</x:v>
      </x:c>
      <x:c r="O47" s="19" t="str"/>
      <x:c r="P47" s="26" t="str"/>
    </x:row>
    <x:row r="48">
      <x:c r="A48" s="101" t="n">
        <x:v>47</x:v>
      </x:c>
      <x:c r="B48" s="19" t="str">
        <x:v>Savory Spice Foodservice</x:v>
      </x:c>
      <x:c r="C48" s="19" t="str">
        <x:v>B</x:v>
      </x:c>
      <x:c r="D48" s="19" t="str"/>
      <x:c r="E48" s="19" t="str">
        <x:v>Not Started</x:v>
      </x:c>
      <x:c r="F48" s="120" t="str"/>
      <x:c r="G48" s="120" t="str"/>
      <x:c r="H48" s="19" t="str">
        <x:v>No</x:v>
      </x:c>
      <x:c r="I48" s="19" t="str">
        <x:v>No</x:v>
      </x:c>
      <x:c r="J48" s="19" t="str"/>
      <x:c r="K48" s="124" t="str"/>
      <x:c r="L48" s="108" t="n">
        <x:v>75</x:v>
      </x:c>
      <x:c r="M48" s="128" t="n">
        <x:v>0.05</x:v>
      </x:c>
      <x:c r="N48" s="108" t="n">
        <x:f>IFERROR(L48*M48,0)</x:f>
        <x:v>3.75</x:v>
      </x:c>
      <x:c r="O48" s="19" t="str"/>
      <x:c r="P48" s="26" t="str"/>
    </x:row>
    <x:row r="49">
      <x:c r="A49" s="101" t="n">
        <x:v>48</x:v>
      </x:c>
      <x:c r="B49" s="19" t="str">
        <x:v>Nedspice Group</x:v>
      </x:c>
      <x:c r="C49" s="19" t="str">
        <x:v>B</x:v>
      </x:c>
      <x:c r="D49" s="19" t="str"/>
      <x:c r="E49" s="19" t="str">
        <x:v>Not Started</x:v>
      </x:c>
      <x:c r="F49" s="120" t="str"/>
      <x:c r="G49" s="120" t="str"/>
      <x:c r="H49" s="19" t="str">
        <x:v>No</x:v>
      </x:c>
      <x:c r="I49" s="19" t="str">
        <x:v>No</x:v>
      </x:c>
      <x:c r="J49" s="19" t="str"/>
      <x:c r="K49" s="124" t="str"/>
      <x:c r="L49" s="108" t="n">
        <x:v>400</x:v>
      </x:c>
      <x:c r="M49" s="128" t="n">
        <x:v>0.05</x:v>
      </x:c>
      <x:c r="N49" s="108" t="n">
        <x:f>IFERROR(L49*M49,0)</x:f>
        <x:v>20</x:v>
      </x:c>
      <x:c r="O49" s="19" t="str"/>
      <x:c r="P49" s="26" t="str"/>
    </x:row>
    <x:row r="50">
      <x:c r="A50" s="101" t="n">
        <x:v>49</x:v>
      </x:c>
      <x:c r="B50" s="19" t="str">
        <x:v>Fuchs Food Solutions / Fuchs North America</x:v>
      </x:c>
      <x:c r="C50" s="19" t="str">
        <x:v>B</x:v>
      </x:c>
      <x:c r="D50" s="19" t="str"/>
      <x:c r="E50" s="19" t="str">
        <x:v>Not Started</x:v>
      </x:c>
      <x:c r="F50" s="120" t="str"/>
      <x:c r="G50" s="120" t="str"/>
      <x:c r="H50" s="19" t="str">
        <x:v>No</x:v>
      </x:c>
      <x:c r="I50" s="19" t="str">
        <x:v>No</x:v>
      </x:c>
      <x:c r="J50" s="19" t="str"/>
      <x:c r="K50" s="124" t="str"/>
      <x:c r="L50" s="108" t="n">
        <x:v>300</x:v>
      </x:c>
      <x:c r="M50" s="128" t="n">
        <x:v>0.05</x:v>
      </x:c>
      <x:c r="N50" s="108" t="n">
        <x:f>IFERROR(L50*M50,0)</x:f>
        <x:v>15</x:v>
      </x:c>
      <x:c r="O50" s="19" t="str"/>
      <x:c r="P50" s="26" t="str"/>
    </x:row>
    <x:row r="51">
      <x:c r="A51" s="101" t="n">
        <x:v>50</x:v>
      </x:c>
      <x:c r="B51" s="19" t="str">
        <x:v>EHL Ingredients</x:v>
      </x:c>
      <x:c r="C51" s="19" t="str">
        <x:v>B</x:v>
      </x:c>
      <x:c r="D51" s="19" t="str"/>
      <x:c r="E51" s="19" t="str">
        <x:v>Not Started</x:v>
      </x:c>
      <x:c r="F51" s="120" t="str"/>
      <x:c r="G51" s="120" t="str"/>
      <x:c r="H51" s="19" t="str">
        <x:v>No</x:v>
      </x:c>
      <x:c r="I51" s="19" t="str">
        <x:v>No</x:v>
      </x:c>
      <x:c r="J51" s="19" t="str"/>
      <x:c r="K51" s="124" t="str"/>
      <x:c r="L51" s="108" t="n">
        <x:v>150</x:v>
      </x:c>
      <x:c r="M51" s="128" t="n">
        <x:v>0.05</x:v>
      </x:c>
      <x:c r="N51" s="108" t="n">
        <x:f>IFERROR(L51*M51,0)</x:f>
        <x:v>7.5</x:v>
      </x:c>
      <x:c r="O51" s="19" t="str"/>
      <x:c r="P51" s="26" t="str"/>
    </x:row>
    <x:row r="52">
      <x:c r="A52" s="101" t="n">
        <x:v>51</x:v>
      </x:c>
      <x:c r="B52" s="19" t="str">
        <x:v>All Seasonings Ingredients</x:v>
      </x:c>
      <x:c r="C52" s="19" t="str">
        <x:v>B</x:v>
      </x:c>
      <x:c r="D52" s="19" t="str"/>
      <x:c r="E52" s="19" t="str">
        <x:v>Not Started</x:v>
      </x:c>
      <x:c r="F52" s="120" t="str"/>
      <x:c r="G52" s="120" t="str"/>
      <x:c r="H52" s="19" t="str">
        <x:v>No</x:v>
      </x:c>
      <x:c r="I52" s="19" t="str">
        <x:v>No</x:v>
      </x:c>
      <x:c r="J52" s="19" t="str"/>
      <x:c r="K52" s="124" t="str"/>
      <x:c r="L52" s="108" t="n">
        <x:v>100</x:v>
      </x:c>
      <x:c r="M52" s="128" t="n">
        <x:v>0.05</x:v>
      </x:c>
      <x:c r="N52" s="108" t="n">
        <x:f>IFERROR(L52*M52,0)</x:f>
        <x:v>5</x:v>
      </x:c>
      <x:c r="O52" s="19" t="str"/>
      <x:c r="P52" s="26" t="str"/>
    </x:row>
    <x:row r="53">
      <x:c r="A53" s="101" t="n">
        <x:v>52</x:v>
      </x:c>
      <x:c r="B53" s="19" t="str">
        <x:v>Atalanta Corporation</x:v>
      </x:c>
      <x:c r="C53" s="19" t="str">
        <x:v>C</x:v>
      </x:c>
      <x:c r="D53" s="19" t="str"/>
      <x:c r="E53" s="19" t="str">
        <x:v>Not Started</x:v>
      </x:c>
      <x:c r="F53" s="120" t="str"/>
      <x:c r="G53" s="120" t="str"/>
      <x:c r="H53" s="19" t="str">
        <x:v>No</x:v>
      </x:c>
      <x:c r="I53" s="19" t="str">
        <x:v>No</x:v>
      </x:c>
      <x:c r="J53" s="19" t="str"/>
      <x:c r="K53" s="124" t="str"/>
      <x:c r="L53" s="108" t="n">
        <x:v>150</x:v>
      </x:c>
      <x:c r="M53" s="128" t="n">
        <x:v>0.02</x:v>
      </x:c>
      <x:c r="N53" s="108" t="n">
        <x:f>IFERROR(L53*M53,0)</x:f>
        <x:v>3</x:v>
      </x:c>
      <x:c r="O53" s="19" t="str"/>
      <x:c r="P53" s="26" t="str"/>
    </x:row>
    <x:row r="54">
      <x:c r="A54" s="101" t="n">
        <x:v>53</x:v>
      </x:c>
      <x:c r="B54" s="19" t="str">
        <x:v>World Finer Foods</x:v>
      </x:c>
      <x:c r="C54" s="19" t="str">
        <x:v>C</x:v>
      </x:c>
      <x:c r="D54" s="19" t="str"/>
      <x:c r="E54" s="19" t="str">
        <x:v>Not Started</x:v>
      </x:c>
      <x:c r="F54" s="120" t="str"/>
      <x:c r="G54" s="120" t="str"/>
      <x:c r="H54" s="19" t="str">
        <x:v>No</x:v>
      </x:c>
      <x:c r="I54" s="19" t="str">
        <x:v>No</x:v>
      </x:c>
      <x:c r="J54" s="19" t="str"/>
      <x:c r="K54" s="124" t="str"/>
      <x:c r="L54" s="108" t="n">
        <x:v>100</x:v>
      </x:c>
      <x:c r="M54" s="128" t="n">
        <x:v>0.02</x:v>
      </x:c>
      <x:c r="N54" s="108" t="n">
        <x:f>IFERROR(L54*M54,0)</x:f>
        <x:v>2</x:v>
      </x:c>
      <x:c r="O54" s="19" t="str"/>
      <x:c r="P54" s="26" t="str"/>
    </x:row>
    <x:row r="55">
      <x:c r="A55" s="101" t="n">
        <x:v>54</x:v>
      </x:c>
      <x:c r="B55" s="19" t="str">
        <x:v>Gourmet Foods International</x:v>
      </x:c>
      <x:c r="C55" s="19" t="str">
        <x:v>C</x:v>
      </x:c>
      <x:c r="D55" s="19" t="str"/>
      <x:c r="E55" s="19" t="str">
        <x:v>Not Started</x:v>
      </x:c>
      <x:c r="F55" s="120" t="str"/>
      <x:c r="G55" s="120" t="str"/>
      <x:c r="H55" s="19" t="str">
        <x:v>No</x:v>
      </x:c>
      <x:c r="I55" s="19" t="str">
        <x:v>No</x:v>
      </x:c>
      <x:c r="J55" s="19" t="str"/>
      <x:c r="K55" s="124" t="str"/>
      <x:c r="L55" s="108" t="n">
        <x:v>100</x:v>
      </x:c>
      <x:c r="M55" s="128" t="n">
        <x:v>0.02</x:v>
      </x:c>
      <x:c r="N55" s="108" t="n">
        <x:f>IFERROR(L55*M55,0)</x:f>
        <x:v>2</x:v>
      </x:c>
      <x:c r="O55" s="19" t="str"/>
      <x:c r="P55" s="26" t="str"/>
    </x:row>
    <x:row r="56">
      <x:c r="A56" s="101" t="n">
        <x:v>55</x:v>
      </x:c>
      <x:c r="B56" s="19" t="str">
        <x:v>European Imports / Sysco</x:v>
      </x:c>
      <x:c r="C56" s="19" t="str">
        <x:v>C</x:v>
      </x:c>
      <x:c r="D56" s="19" t="str"/>
      <x:c r="E56" s="19" t="str">
        <x:v>Not Started</x:v>
      </x:c>
      <x:c r="F56" s="120" t="str"/>
      <x:c r="G56" s="120" t="str"/>
      <x:c r="H56" s="19" t="str">
        <x:v>No</x:v>
      </x:c>
      <x:c r="I56" s="19" t="str">
        <x:v>No</x:v>
      </x:c>
      <x:c r="J56" s="19" t="str"/>
      <x:c r="K56" s="124" t="str"/>
      <x:c r="L56" s="108" t="n">
        <x:v>100</x:v>
      </x:c>
      <x:c r="M56" s="128" t="n">
        <x:v>0.02</x:v>
      </x:c>
      <x:c r="N56" s="108" t="n">
        <x:f>IFERROR(L56*M56,0)</x:f>
        <x:v>2</x:v>
      </x:c>
      <x:c r="O56" s="19" t="str"/>
      <x:c r="P56" s="26" t="str"/>
    </x:row>
    <x:row r="57">
      <x:c r="A57" s="101" t="n">
        <x:v>56</x:v>
      </x:c>
      <x:c r="B57" s="19" t="str">
        <x:v>The Chefs' Warehouse</x:v>
      </x:c>
      <x:c r="C57" s="19" t="str">
        <x:v>C</x:v>
      </x:c>
      <x:c r="D57" s="19" t="str"/>
      <x:c r="E57" s="19" t="str">
        <x:v>Not Started</x:v>
      </x:c>
      <x:c r="F57" s="120" t="str"/>
      <x:c r="G57" s="120" t="str"/>
      <x:c r="H57" s="19" t="str">
        <x:v>No</x:v>
      </x:c>
      <x:c r="I57" s="19" t="str">
        <x:v>No</x:v>
      </x:c>
      <x:c r="J57" s="19" t="str"/>
      <x:c r="K57" s="124" t="str"/>
      <x:c r="L57" s="108" t="n">
        <x:v>100</x:v>
      </x:c>
      <x:c r="M57" s="128" t="n">
        <x:v>0.02</x:v>
      </x:c>
      <x:c r="N57" s="108" t="n">
        <x:f>IFERROR(L57*M57,0)</x:f>
        <x:v>2</x:v>
      </x:c>
      <x:c r="O57" s="19" t="str"/>
      <x:c r="P57" s="26" t="str"/>
    </x:row>
    <x:row r="58">
      <x:c r="A58" s="101" t="n">
        <x:v>57</x:v>
      </x:c>
      <x:c r="B58" s="19" t="str">
        <x:v>KeHE Distributors</x:v>
      </x:c>
      <x:c r="C58" s="19" t="str">
        <x:v>C</x:v>
      </x:c>
      <x:c r="D58" s="19" t="str"/>
      <x:c r="E58" s="19" t="str">
        <x:v>Not Started</x:v>
      </x:c>
      <x:c r="F58" s="120" t="str"/>
      <x:c r="G58" s="120" t="str"/>
      <x:c r="H58" s="19" t="str">
        <x:v>No</x:v>
      </x:c>
      <x:c r="I58" s="19" t="str">
        <x:v>No</x:v>
      </x:c>
      <x:c r="J58" s="19" t="str"/>
      <x:c r="K58" s="124" t="str"/>
      <x:c r="L58" s="108" t="n">
        <x:v>100</x:v>
      </x:c>
      <x:c r="M58" s="128" t="n">
        <x:v>0.02</x:v>
      </x:c>
      <x:c r="N58" s="108" t="n">
        <x:f>IFERROR(L58*M58,0)</x:f>
        <x:v>2</x:v>
      </x:c>
      <x:c r="O58" s="19" t="str"/>
      <x:c r="P58" s="26" t="str"/>
    </x:row>
    <x:row r="59">
      <x:c r="A59" s="101" t="n">
        <x:v>58</x:v>
      </x:c>
      <x:c r="B59" s="19" t="str">
        <x:v>UNFI</x:v>
      </x:c>
      <x:c r="C59" s="19" t="str">
        <x:v>C</x:v>
      </x:c>
      <x:c r="D59" s="19" t="str"/>
      <x:c r="E59" s="19" t="str">
        <x:v>Not Started</x:v>
      </x:c>
      <x:c r="F59" s="120" t="str"/>
      <x:c r="G59" s="120" t="str"/>
      <x:c r="H59" s="19" t="str">
        <x:v>No</x:v>
      </x:c>
      <x:c r="I59" s="19" t="str">
        <x:v>No</x:v>
      </x:c>
      <x:c r="J59" s="19" t="str"/>
      <x:c r="K59" s="124" t="str"/>
      <x:c r="L59" s="108" t="n">
        <x:v>100</x:v>
      </x:c>
      <x:c r="M59" s="128" t="n">
        <x:v>0.02</x:v>
      </x:c>
      <x:c r="N59" s="108" t="n">
        <x:f>IFERROR(L59*M59,0)</x:f>
        <x:v>2</x:v>
      </x:c>
      <x:c r="O59" s="19" t="str"/>
      <x:c r="P59" s="26" t="str"/>
    </x:row>
    <x:row r="60">
      <x:c r="A60" s="101" t="n">
        <x:v>59</x:v>
      </x:c>
      <x:c r="B60" s="19" t="str">
        <x:v>Specialty Food Source</x:v>
      </x:c>
      <x:c r="C60" s="19" t="str">
        <x:v>C</x:v>
      </x:c>
      <x:c r="D60" s="19" t="str"/>
      <x:c r="E60" s="19" t="str">
        <x:v>Not Started</x:v>
      </x:c>
      <x:c r="F60" s="120" t="str"/>
      <x:c r="G60" s="120" t="str"/>
      <x:c r="H60" s="19" t="str">
        <x:v>No</x:v>
      </x:c>
      <x:c r="I60" s="19" t="str">
        <x:v>No</x:v>
      </x:c>
      <x:c r="J60" s="19" t="str"/>
      <x:c r="K60" s="124" t="str"/>
      <x:c r="L60" s="108" t="n">
        <x:v>75</x:v>
      </x:c>
      <x:c r="M60" s="128" t="n">
        <x:v>0.02</x:v>
      </x:c>
      <x:c r="N60" s="108" t="n">
        <x:f>IFERROR(L60*M60,0)</x:f>
        <x:v>1.5</x:v>
      </x:c>
      <x:c r="O60" s="19" t="str"/>
      <x:c r="P60" s="26" t="str"/>
    </x:row>
    <x:row r="61">
      <x:c r="A61" s="102" t="n">
        <x:v>60</x:v>
      </x:c>
      <x:c r="B61" s="28" t="str">
        <x:v>Baldor Specialty Foods</x:v>
      </x:c>
      <x:c r="C61" s="28" t="str">
        <x:v>C</x:v>
      </x:c>
      <x:c r="D61" s="28" t="str"/>
      <x:c r="E61" s="28" t="str">
        <x:v>Not Started</x:v>
      </x:c>
      <x:c r="F61" s="121" t="str"/>
      <x:c r="G61" s="121" t="str"/>
      <x:c r="H61" s="28" t="str">
        <x:v>No</x:v>
      </x:c>
      <x:c r="I61" s="28" t="str">
        <x:v>No</x:v>
      </x:c>
      <x:c r="J61" s="28" t="str"/>
      <x:c r="K61" s="125" t="str"/>
      <x:c r="L61" s="109" t="n">
        <x:v>75</x:v>
      </x:c>
      <x:c r="M61" s="129" t="n">
        <x:v>0.02</x:v>
      </x:c>
      <x:c r="N61" s="109" t="n">
        <x:f>IFERROR(L61*M61,0)</x:f>
        <x:v>1.5</x:v>
      </x:c>
      <x:c r="O61" s="28" t="str"/>
      <x:c r="P61" s="30" t="str"/>
    </x:row>
  </x:sheetData>
  <x:conditionalFormatting sqref="C2:C61">
    <x:cfRule type="expression" dxfId="6" priority="1">
      <x:formula>C2="A"</x:formula>
    </x:cfRule>
  </x:conditionalFormatting>
  <x:conditionalFormatting sqref="E2:E61">
    <x:cfRule type="expression" dxfId="7" priority="2">
      <x:formula>E2="Won"</x:formula>
    </x:cfRule>
    <x:cfRule type="expression" dxfId="8" priority="3">
      <x:formula>E2="Lost"</x:formula>
    </x:cfRule>
  </x:conditionalFormatting>
  <x:dataValidations count="3">
    <x:dataValidation type="list" sqref="E2:E61">
      <x:formula1>"Not Started,Called,Emailed,Interested,Sample Sent,Quoted,Negotiating,Won,Lost,No Response"</x:formula1>
    </x:dataValidation>
    <x:dataValidation type="list" sqref="H2:H61">
      <x:formula1>"Yes,No"</x:formula1>
    </x:dataValidation>
    <x:dataValidation type="list" sqref="I2:I6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a67f49cb004e6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6" hidden="0" customWidth="1"/>
    <x:col min="3" max="3" width="42" hidden="0" customWidth="1"/>
  </x:cols>
  <x:sheetData>
    <x:row r="1" ht="34" customHeight="1">
      <x:c r="A1" s="54" t="str">
        <x:v>Company</x:v>
      </x:c>
      <x:c r="B1" s="55" t="str">
        <x:v>Primary Source URL</x:v>
      </x:c>
      <x:c r="C1" s="56" t="str">
        <x:v>Contact Verification Note</x:v>
      </x:c>
    </x:row>
    <x:row r="2">
      <x:c r="A2" s="101" t="str">
        <x:v>Aust &amp; Hachmann</x:v>
      </x:c>
      <x:c r="B2" s="19" t="str">
        <x:v>https://austhachmann.de/</x:v>
      </x:c>
      <x:c r="C2" s="26" t="str">
        <x:v>A - official public contact</x:v>
      </x:c>
    </x:row>
    <x:row r="3">
      <x:c r="A3" s="101" t="str">
        <x:v>De Monchy Natural Products</x:v>
      </x:c>
      <x:c r="B3" s="19" t="str">
        <x:v>https://monchynaturalproducts.com/contact/</x:v>
      </x:c>
      <x:c r="C3" s="26" t="str">
        <x:v>A - official site / verify email</x:v>
      </x:c>
    </x:row>
    <x:row r="4">
      <x:c r="A4" s="101" t="str">
        <x:v>Eurovanille</x:v>
      </x:c>
      <x:c r="B4" s="19" t="str">
        <x:v>https://www.eurovanille.com/en/contact/</x:v>
      </x:c>
      <x:c r="C4" s="26" t="str">
        <x:v>A - official public contact</x:v>
      </x:c>
    </x:row>
    <x:row r="5">
      <x:c r="A5" s="101" t="str">
        <x:v>Natural Vanilla Group</x:v>
      </x:c>
      <x:c r="B5" s="19" t="str">
        <x:v>https://naturalvanilla.us/contact/</x:v>
      </x:c>
      <x:c r="C5" s="26" t="str">
        <x:v>A - official regional contacts</x:v>
      </x:c>
    </x:row>
    <x:row r="6">
      <x:c r="A6" s="101" t="str">
        <x:v>Slofoodgroup</x:v>
      </x:c>
      <x:c r="B6" s="19" t="str">
        <x:v>https://www.slofoodgroup.com/pages/contact</x:v>
      </x:c>
      <x:c r="C6" s="26" t="str">
        <x:v>A - official contact plus public email</x:v>
      </x:c>
    </x:row>
    <x:row r="7">
      <x:c r="A7" s="101" t="str">
        <x:v>Vanillas of the World</x:v>
      </x:c>
      <x:c r="B7" s="19" t="str">
        <x:v>https://vanillasoftheworld.com/pages/wholesale</x:v>
      </x:c>
      <x:c r="C7" s="26" t="str">
        <x:v>A - official public wholesale contact</x:v>
      </x:c>
    </x:row>
    <x:row r="8">
      <x:c r="A8" s="101" t="str">
        <x:v>Vanilla Bean Kings</x:v>
      </x:c>
      <x:c r="B8" s="19" t="str">
        <x:v>https://www.vanillabeankings.com/pages/contact-us</x:v>
      </x:c>
      <x:c r="C8" s="26" t="str">
        <x:v>B - public contact, verify sales email before shipment</x:v>
      </x:c>
    </x:row>
    <x:row r="9">
      <x:c r="A9" s="101" t="str">
        <x:v>Beanilla</x:v>
      </x:c>
      <x:c r="B9" s="19" t="str">
        <x:v>https://www.beanilla.com/wholesale-vanilla</x:v>
      </x:c>
      <x:c r="C9" s="26" t="str">
        <x:v>A - official wholesale page/phone</x:v>
      </x:c>
    </x:row>
    <x:row r="10">
      <x:c r="A10" s="101" t="str">
        <x:v>Madagascar Vanilla Company</x:v>
      </x:c>
      <x:c r="B10" s="19" t="str">
        <x:v>https://www.madagascarvanillacompany.com/wholesale/</x:v>
      </x:c>
      <x:c r="C10" s="26" t="str">
        <x:v>A - official wholesale route/phones</x:v>
      </x:c>
    </x:row>
    <x:row r="11">
      <x:c r="A11" s="101" t="str">
        <x:v>Amadeus Vanilla Beans</x:v>
      </x:c>
      <x:c r="B11" s="19" t="str">
        <x:v>https://amadeusvanillabeans.com/large-orders/</x:v>
      </x:c>
      <x:c r="C11" s="26" t="str">
        <x:v>B - official route, no public direct email</x:v>
      </x:c>
    </x:row>
    <x:row r="12">
      <x:c r="A12" s="101" t="str">
        <x:v>VanillaGoods</x:v>
      </x:c>
      <x:c r="B12" s="19" t="str">
        <x:v>https://vanillagoods.com/pages/vanillagoods-contact</x:v>
      </x:c>
      <x:c r="C12" s="26" t="str">
        <x:v>A - official public contact</x:v>
      </x:c>
    </x:row>
    <x:row r="13">
      <x:c r="A13" s="101" t="str">
        <x:v>Native Vanilla</x:v>
      </x:c>
      <x:c r="B13" s="19" t="str">
        <x:v>https://nativevanilla.com/pages/contact</x:v>
      </x:c>
      <x:c r="C13" s="26" t="str">
        <x:v>A - official public contact</x:v>
      </x:c>
    </x:row>
    <x:row r="14">
      <x:c r="A14" s="101" t="str">
        <x:v>Singing Dog Vanilla</x:v>
      </x:c>
      <x:c r="B14" s="19" t="str">
        <x:v>https://www.singingdogvanilla.com/pages/contact-us</x:v>
      </x:c>
      <x:c r="C14" s="26" t="str">
        <x:v>A - public company contact; verify current number</x:v>
      </x:c>
    </x:row>
    <x:row r="15">
      <x:c r="A15" s="101" t="str">
        <x:v>Heilala Vanilla</x:v>
      </x:c>
      <x:c r="B15" s="19" t="str">
        <x:v>https://www.heilalavanilla.com/pages/contact-us</x:v>
      </x:c>
      <x:c r="C15" s="26" t="str">
        <x:v>A - public company contact; verify current number</x:v>
      </x:c>
    </x:row>
    <x:row r="16">
      <x:c r="A16" s="101" t="str">
        <x:v>Vanilla Food Company</x:v>
      </x:c>
      <x:c r="B16" s="19" t="str">
        <x:v>https://vanillafoodcompany.ca/contact-us/</x:v>
      </x:c>
      <x:c r="C16" s="26" t="str">
        <x:v>A - official contact page/phones</x:v>
      </x:c>
    </x:row>
    <x:row r="17">
      <x:c r="A17" s="101" t="str">
        <x:v>MUST Vanilla Gourmet</x:v>
      </x:c>
      <x:c r="B17" s="19" t="str">
        <x:v>https://www.mustvanillagourmet.com/bulk-vanilla-extract-bulk-vanilla-beans-wholesale-vanilla</x:v>
      </x:c>
      <x:c r="C17" s="26" t="str">
        <x:v>B - official bulk page, limited public contact</x:v>
      </x:c>
    </x:row>
    <x:row r="18">
      <x:c r="A18" s="101" t="str">
        <x:v>Vanille B.V.</x:v>
      </x:c>
      <x:c r="B18" s="19" t="str">
        <x:v>https://www.vanille.nl/contact/</x:v>
      </x:c>
      <x:c r="C18" s="26" t="str">
        <x:v>A - public contact, verify before shipping</x:v>
      </x:c>
    </x:row>
    <x:row r="19">
      <x:c r="A19" s="101" t="str">
        <x:v>Thiercelin 1809</x:v>
      </x:c>
      <x:c r="B19" s="19" t="str">
        <x:v>https://www.thiercelin1809.com/en_GB/contact-us</x:v>
      </x:c>
      <x:c r="C19" s="26" t="str">
        <x:v>A - official contact page plus member directory</x:v>
      </x:c>
    </x:row>
    <x:row r="20">
      <x:c r="A20" s="101" t="str">
        <x:v>Global Resources Direct</x:v>
      </x:c>
      <x:c r="B20" s="19" t="str">
        <x:v>https://www.globalresourcesdirect.com/</x:v>
      </x:c>
      <x:c r="C20" s="26" t="str">
        <x:v>B - public route/phone, verify contact details</x:v>
      </x:c>
    </x:row>
    <x:row r="21">
      <x:c r="A21" s="101" t="str">
        <x:v>Cambridge Commodities</x:v>
      </x:c>
      <x:c r="B21" s="19" t="str">
        <x:v>https://us.cambridgecommodities.com/become-a-supplier.htm</x:v>
      </x:c>
      <x:c r="C21" s="26" t="str">
        <x:v>B - public supplier/contact routes</x:v>
      </x:c>
    </x:row>
    <x:row r="22">
      <x:c r="A22" s="101" t="str">
        <x:v>Tradin Organic</x:v>
      </x:c>
      <x:c r="B22" s="19" t="str">
        <x:v>https://www.tradinorganic.com/contact-us</x:v>
      </x:c>
      <x:c r="C22" s="26" t="str">
        <x:v>A - official public contacts</x:v>
      </x:c>
    </x:row>
    <x:row r="23">
      <x:c r="A23" s="101" t="str">
        <x:v>Univar Solutions Foodology</x:v>
      </x:c>
      <x:c r="B23" s="19" t="str">
        <x:v>https://www.univarsolutions.com/industries/food-ingredients</x:v>
      </x:c>
      <x:c r="C23" s="26" t="str">
        <x:v>B - official site, commercial route only</x:v>
      </x:c>
    </x:row>
    <x:row r="24">
      <x:c r="A24" s="101" t="str">
        <x:v>Brenntag Food &amp; Nutrition</x:v>
      </x:c>
      <x:c r="B24" s="19" t="str">
        <x:v>https://www.brenntag.com/en-us/contact.html</x:v>
      </x:c>
      <x:c r="C24" s="26" t="str">
        <x:v>B - official contact route</x:v>
      </x:c>
    </x:row>
    <x:row r="25">
      <x:c r="A25" s="101" t="str">
        <x:v>Barentz</x:v>
      </x:c>
      <x:c r="B25" s="19" t="str">
        <x:v>https://www.barentz.com/contact/</x:v>
      </x:c>
      <x:c r="C25" s="26" t="str">
        <x:v>A - official emails/phones</x:v>
      </x:c>
    </x:row>
    <x:row r="26">
      <x:c r="A26" s="101" t="str">
        <x:v>Azelis</x:v>
      </x:c>
      <x:c r="B26" s="19" t="str">
        <x:v>https://www.azelis.com/en/contact</x:v>
      </x:c>
      <x:c r="C26" s="26" t="str">
        <x:v>A - official contact page; commercial route varies</x:v>
      </x:c>
    </x:row>
    <x:row r="27">
      <x:c r="A27" s="101" t="str">
        <x:v>IMCD Food &amp; Nutrition</x:v>
      </x:c>
      <x:c r="B27" s="19" t="str">
        <x:v>https://www.imcdgroup.com/business-groups/food-and-nutrition</x:v>
      </x:c>
      <x:c r="C27" s="26" t="str">
        <x:v>B - official site plus public listing phone</x:v>
      </x:c>
    </x:row>
    <x:row r="28">
      <x:c r="A28" s="101" t="str">
        <x:v>Caldic</x:v>
      </x:c>
      <x:c r="B28" s="19" t="str">
        <x:v>https://www.caldic.com/en-us/contact-us/</x:v>
      </x:c>
      <x:c r="C28" s="26" t="str">
        <x:v>A - official/global + public local contact</x:v>
      </x:c>
    </x:row>
    <x:row r="29">
      <x:c r="A29" s="101" t="str">
        <x:v>Connell / Caldic APAC</x:v>
      </x:c>
      <x:c r="B29" s="19" t="str">
        <x:v>https://www.caldic.com/en-us/regions/apac/</x:v>
      </x:c>
      <x:c r="C29" s="26" t="str">
        <x:v>B - official APAC route</x:v>
      </x:c>
    </x:row>
    <x:row r="30">
      <x:c r="A30" s="101" t="str">
        <x:v>DKSH Performance Materials</x:v>
      </x:c>
      <x:c r="B30" s="19" t="str">
        <x:v>https://www.dkshdiscover.com/en/contact-us</x:v>
      </x:c>
      <x:c r="C30" s="26" t="str">
        <x:v>A - official DKSH contact route/email</x:v>
      </x:c>
    </x:row>
    <x:row r="31">
      <x:c r="A31" s="101" t="str">
        <x:v>Prinova</x:v>
      </x:c>
      <x:c r="B31" s="19" t="str">
        <x:v>https://www.prinovaglobal.com/us/en/contact-us</x:v>
      </x:c>
      <x:c r="C31" s="26" t="str">
        <x:v>A - official public contact</x:v>
      </x:c>
    </x:row>
    <x:row r="32">
      <x:c r="A32" s="101" t="str">
        <x:v>Quadra Group</x:v>
      </x:c>
      <x:c r="B32" s="19" t="str">
        <x:v>https://quadragroup.com/en-us/contact-us/</x:v>
      </x:c>
      <x:c r="C32" s="26" t="str">
        <x:v>A - official public contact</x:v>
      </x:c>
    </x:row>
    <x:row r="33">
      <x:c r="A33" s="101" t="str">
        <x:v>Royal Ingredients Group</x:v>
      </x:c>
      <x:c r="B33" s="19" t="str">
        <x:v>https://www.royal-ingredients.com/contact/</x:v>
      </x:c>
      <x:c r="C33" s="26" t="str">
        <x:v>A - official contact plus public office phone</x:v>
      </x:c>
    </x:row>
    <x:row r="34">
      <x:c r="A34" s="101" t="str">
        <x:v>Kreglinger Europe</x:v>
      </x:c>
      <x:c r="B34" s="19" t="str">
        <x:v>https://www.kreglinger.com/specialties/food-ingredients/</x:v>
      </x:c>
      <x:c r="C34" s="26" t="str">
        <x:v>A - official public contact</x:v>
      </x:c>
    </x:row>
    <x:row r="35">
      <x:c r="A35" s="101" t="str">
        <x:v>Meelunie</x:v>
      </x:c>
      <x:c r="B35" s="19" t="str">
        <x:v>https://meelunie.com/</x:v>
      </x:c>
      <x:c r="C35" s="26" t="str">
        <x:v>B - public corporate contact</x:v>
      </x:c>
    </x:row>
    <x:row r="36">
      <x:c r="A36" s="101" t="str">
        <x:v>Henley Bridge / HB Ingredients</x:v>
      </x:c>
      <x:c r="B36" s="19" t="str">
        <x:v>https://hbingredients.co.uk/</x:v>
      </x:c>
      <x:c r="C36" s="26" t="str">
        <x:v>A - official public contact</x:v>
      </x:c>
    </x:row>
    <x:row r="37">
      <x:c r="A37" s="101" t="str">
        <x:v>Batory Foods</x:v>
      </x:c>
      <x:c r="B37" s="19" t="str">
        <x:v>https://www.batoryfoods.com/</x:v>
      </x:c>
      <x:c r="C37" s="26" t="str">
        <x:v>B - public company route/phone</x:v>
      </x:c>
    </x:row>
    <x:row r="38">
      <x:c r="A38" s="101" t="str">
        <x:v>Stover &amp; Company</x:v>
      </x:c>
      <x:c r="B38" s="19" t="str">
        <x:v>https://www.stovercompany.com/</x:v>
      </x:c>
      <x:c r="C38" s="26" t="str">
        <x:v>A - official public contact</x:v>
      </x:c>
    </x:row>
    <x:row r="39">
      <x:c r="A39" s="101" t="str">
        <x:v>FDL Ltd / Fuerst Day Lawson</x:v>
      </x:c>
      <x:c r="B39" s="19" t="str">
        <x:v>https://fdlworld.com/contact-us/</x:v>
      </x:c>
      <x:c r="C39" s="26" t="str">
        <x:v>A - official phone, public email from company social profile</x:v>
      </x:c>
    </x:row>
    <x:row r="40">
      <x:c r="A40" s="101" t="str">
        <x:v>Pacific Spice Company</x:v>
      </x:c>
      <x:c r="B40" s="19" t="str">
        <x:v>https://pacificspice.com/contact/</x:v>
      </x:c>
      <x:c r="C40" s="26" t="str">
        <x:v>A - official contact/phone</x:v>
      </x:c>
    </x:row>
    <x:row r="41">
      <x:c r="A41" s="101" t="str">
        <x:v>Kalustyan Corporation</x:v>
      </x:c>
      <x:c r="B41" s="19" t="str">
        <x:v>https://www.kalustyan.com/</x:v>
      </x:c>
      <x:c r="C41" s="26" t="str">
        <x:v>A - official public contact</x:v>
      </x:c>
    </x:row>
    <x:row r="42">
      <x:c r="A42" s="101" t="str">
        <x:v>Rocky Mountain Spice Company</x:v>
      </x:c>
      <x:c r="B42" s="19" t="str">
        <x:v>https://rockymountainspice.com/contact/</x:v>
      </x:c>
      <x:c r="C42" s="26" t="str">
        <x:v>A - official public contact</x:v>
      </x:c>
    </x:row>
    <x:row r="43">
      <x:c r="A43" s="101" t="str">
        <x:v>Woodland Gourmet / Woodland Foods</x:v>
      </x:c>
      <x:c r="B43" s="19" t="str">
        <x:v>https://www.woodlandgourmet.com/contact/</x:v>
      </x:c>
      <x:c r="C43" s="26" t="str">
        <x:v>B - public sales/phone; verify current route</x:v>
      </x:c>
    </x:row>
    <x:row r="44">
      <x:c r="A44" s="101" t="str">
        <x:v>Frontier Co-op</x:v>
      </x:c>
      <x:c r="B44" s="19" t="str">
        <x:v>https://www.frontiercoop.com/contact</x:v>
      </x:c>
      <x:c r="C44" s="26" t="str">
        <x:v>A - official public contact</x:v>
      </x:c>
    </x:row>
    <x:row r="45">
      <x:c r="A45" s="101" t="str">
        <x:v>Mountain Rose Herbs</x:v>
      </x:c>
      <x:c r="B45" s="19" t="str">
        <x:v>https://mountainroseherbs.com/wholesale/hub</x:v>
      </x:c>
      <x:c r="C45" s="26" t="str">
        <x:v>A - official wholesale contact</x:v>
      </x:c>
    </x:row>
    <x:row r="46">
      <x:c r="A46" s="101" t="str">
        <x:v>Burlap &amp; Barrel</x:v>
      </x:c>
      <x:c r="B46" s="19" t="str">
        <x:v>https://www.burlapandbarrel.com/pages/contact-us</x:v>
      </x:c>
      <x:c r="C46" s="26" t="str">
        <x:v>A - official public contact</x:v>
      </x:c>
    </x:row>
    <x:row r="47">
      <x:c r="A47" s="101" t="str">
        <x:v>The Spice House</x:v>
      </x:c>
      <x:c r="B47" s="19" t="str">
        <x:v>https://www.thespicehouse.com/pages/wholesale-bulk-spices</x:v>
      </x:c>
      <x:c r="C47" s="26" t="str">
        <x:v>A - official public wholesale/contact</x:v>
      </x:c>
    </x:row>
    <x:row r="48">
      <x:c r="A48" s="101" t="str">
        <x:v>Savory Spice Foodservice</x:v>
      </x:c>
      <x:c r="B48" s="19" t="str">
        <x:v>https://savoryspicefoodservices.com/</x:v>
      </x:c>
      <x:c r="C48" s="26" t="str">
        <x:v>B - official foodservice/brand routes</x:v>
      </x:c>
    </x:row>
    <x:row r="49">
      <x:c r="A49" s="101" t="str">
        <x:v>Nedspice Group</x:v>
      </x:c>
      <x:c r="B49" s="19" t="str">
        <x:v>https://www.nedspice.com/locations/</x:v>
      </x:c>
      <x:c r="C49" s="26" t="str">
        <x:v>A - official/public contact</x:v>
      </x:c>
    </x:row>
    <x:row r="50">
      <x:c r="A50" s="101" t="str">
        <x:v>Fuchs Food Solutions / Fuchs North America</x:v>
      </x:c>
      <x:c r="B50" s="19" t="str">
        <x:v>https://fuchsna.com/our-approach/dedicated-customer-teams/</x:v>
      </x:c>
      <x:c r="C50" s="26" t="str">
        <x:v>B - official food-business route/phone</x:v>
      </x:c>
    </x:row>
    <x:row r="51">
      <x:c r="A51" s="101" t="str">
        <x:v>EHL Ingredients</x:v>
      </x:c>
      <x:c r="B51" s="19" t="str">
        <x:v>https://www.ehl-ingredients.co.uk/</x:v>
      </x:c>
      <x:c r="C51" s="26" t="str">
        <x:v>A - official public contact</x:v>
      </x:c>
    </x:row>
    <x:row r="52">
      <x:c r="A52" s="101" t="str">
        <x:v>All Seasonings Ingredients</x:v>
      </x:c>
      <x:c r="B52" s="19" t="str">
        <x:v>https://allseasonings.com/industrial/</x:v>
      </x:c>
      <x:c r="C52" s="26" t="str">
        <x:v>B - official site and public directory contact</x:v>
      </x:c>
    </x:row>
    <x:row r="53">
      <x:c r="A53" s="101" t="str">
        <x:v>Atalanta Corporation</x:v>
      </x:c>
      <x:c r="B53" s="19" t="str">
        <x:v>https://www.atalantacorp.com/</x:v>
      </x:c>
      <x:c r="C53" s="26" t="str">
        <x:v>B - official site plus public phone listing</x:v>
      </x:c>
    </x:row>
    <x:row r="54">
      <x:c r="A54" s="101" t="str">
        <x:v>World Finer Foods</x:v>
      </x:c>
      <x:c r="B54" s="19" t="str">
        <x:v>https://worldfiner.com/contact/</x:v>
      </x:c>
      <x:c r="C54" s="26" t="str">
        <x:v>A - official contact/phone</x:v>
      </x:c>
    </x:row>
    <x:row r="55">
      <x:c r="A55" s="101" t="str">
        <x:v>Gourmet Foods International</x:v>
      </x:c>
      <x:c r="B55" s="19" t="str">
        <x:v>https://www.gfifoods.com/contact-us</x:v>
      </x:c>
      <x:c r="C55" s="26" t="str">
        <x:v>A - official public contact</x:v>
      </x:c>
    </x:row>
    <x:row r="56">
      <x:c r="A56" s="101" t="str">
        <x:v>European Imports / Sysco</x:v>
      </x:c>
      <x:c r="B56" s="19" t="str">
        <x:v>https://www.eiltd.com/contact.php</x:v>
      </x:c>
      <x:c r="C56" s="26" t="str">
        <x:v>A - official public contact</x:v>
      </x:c>
    </x:row>
    <x:row r="57">
      <x:c r="A57" s="101" t="str">
        <x:v>The Chefs' Warehouse</x:v>
      </x:c>
      <x:c r="B57" s="19" t="str">
        <x:v>https://www.chefswarehouse.com/about-us/Who_We_Are/</x:v>
      </x:c>
      <x:c r="C57" s="26" t="str">
        <x:v>B - public corporate route/phone, verify</x:v>
      </x:c>
    </x:row>
    <x:row r="58">
      <x:c r="A58" s="101" t="str">
        <x:v>KeHE Distributors</x:v>
      </x:c>
      <x:c r="B58" s="19" t="str">
        <x:v>https://www.kehe.com/suppliers/</x:v>
      </x:c>
      <x:c r="C58" s="26" t="str">
        <x:v>A - official supplier portal</x:v>
      </x:c>
    </x:row>
    <x:row r="59">
      <x:c r="A59" s="101" t="str">
        <x:v>UNFI</x:v>
      </x:c>
      <x:c r="B59" s="19" t="str">
        <x:v>https://www.unfi.com/suppliers</x:v>
      </x:c>
      <x:c r="C59" s="26" t="str">
        <x:v>B - official supplier portal, verify route</x:v>
      </x:c>
    </x:row>
    <x:row r="60">
      <x:c r="A60" s="101" t="str">
        <x:v>Specialty Food Source</x:v>
      </x:c>
      <x:c r="B60" s="19" t="str">
        <x:v>https://specialtyfoodsource.com/pages/contact</x:v>
      </x:c>
      <x:c r="C60" s="26" t="str">
        <x:v>A - official public contact</x:v>
      </x:c>
    </x:row>
    <x:row r="61">
      <x:c r="A61" s="102" t="str">
        <x:v>Baldor Specialty Foods</x:v>
      </x:c>
      <x:c r="B61" s="28" t="str">
        <x:v>https://help.baldorfood.com/hc/en-us/requests/new</x:v>
      </x:c>
      <x:c r="C61" s="30" t="str">
        <x:v>A - official help/contact source</x:v>
      </x:c>
    </x:row>
  </x:sheetData>
  <x:pageMargins left="0.7" right="0.7" top="0.75" bottom="0.75" header="0.3" footer="0.3"/>
  <x:tableParts count="1">
    <x:tablePart xmlns:r="http://schemas.openxmlformats.org/officeDocument/2006/relationships" r:id="Refba5bb86cbb482a"/>
  </x:tableParts>
</x:worksheet>
</file>